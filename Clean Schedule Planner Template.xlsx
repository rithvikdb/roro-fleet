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rojects\roro-fleet\"/>
    </mc:Choice>
  </mc:AlternateContent>
  <xr:revisionPtr revIDLastSave="0" documentId="13_ncr:1_{66984B5F-1635-4DAF-9B47-0D14BB0FFB8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chedule Planner" sheetId="10" r:id="rId1"/>
  </sheets>
  <definedNames>
    <definedName name="_xlnm.Print_Area" localSheetId="0">'Schedule Planner'!$A$1:$AA$73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9" i="10" l="1"/>
  <c r="M59" i="10" s="1"/>
  <c r="K64" i="10"/>
  <c r="K63" i="10"/>
  <c r="K62" i="10"/>
  <c r="K61" i="10"/>
  <c r="K60" i="10"/>
  <c r="T64" i="10" l="1"/>
  <c r="T63" i="10"/>
  <c r="T62" i="10"/>
  <c r="T61" i="10"/>
  <c r="T60" i="10"/>
  <c r="T59" i="10"/>
  <c r="V59" i="10" s="1"/>
  <c r="X55" i="10"/>
  <c r="T55" i="10"/>
  <c r="P55" i="10"/>
  <c r="G55" i="10"/>
  <c r="AA54" i="10"/>
  <c r="E54" i="10"/>
  <c r="X52" i="10"/>
  <c r="T52" i="10"/>
  <c r="P52" i="10"/>
  <c r="G52" i="10"/>
  <c r="AA51" i="10"/>
  <c r="E51" i="10"/>
  <c r="X49" i="10"/>
  <c r="T49" i="10"/>
  <c r="P49" i="10"/>
  <c r="G49" i="10"/>
  <c r="AA48" i="10"/>
  <c r="E48" i="10"/>
  <c r="X46" i="10"/>
  <c r="T46" i="10"/>
  <c r="P46" i="10"/>
  <c r="G46" i="10"/>
  <c r="E45" i="10"/>
  <c r="X43" i="10"/>
  <c r="T43" i="10"/>
  <c r="P43" i="10"/>
  <c r="E42" i="10"/>
  <c r="X40" i="10"/>
  <c r="T40" i="10"/>
  <c r="P40" i="10"/>
  <c r="G40" i="10"/>
  <c r="E39" i="10"/>
  <c r="X37" i="10"/>
  <c r="T37" i="10"/>
  <c r="P37" i="10"/>
  <c r="G37" i="10"/>
  <c r="E36" i="10"/>
  <c r="X34" i="10"/>
  <c r="T34" i="10"/>
  <c r="P34" i="10"/>
  <c r="G34" i="10"/>
  <c r="E33" i="10"/>
  <c r="X31" i="10"/>
  <c r="T31" i="10"/>
  <c r="P31" i="10"/>
  <c r="G31" i="10"/>
  <c r="E30" i="10"/>
  <c r="X28" i="10"/>
  <c r="T28" i="10"/>
  <c r="P28" i="10"/>
  <c r="E27" i="10"/>
  <c r="X25" i="10"/>
  <c r="T25" i="10"/>
  <c r="P25" i="10"/>
  <c r="E24" i="10"/>
  <c r="X22" i="10"/>
  <c r="T22" i="10"/>
  <c r="P22" i="10"/>
  <c r="E21" i="10"/>
  <c r="X19" i="10"/>
  <c r="T19" i="10"/>
  <c r="P19" i="10"/>
  <c r="E18" i="10"/>
  <c r="X16" i="10"/>
  <c r="T16" i="10"/>
  <c r="P16" i="10"/>
  <c r="E15" i="10"/>
  <c r="X13" i="10"/>
  <c r="T13" i="10"/>
  <c r="P13" i="10"/>
  <c r="E12" i="10"/>
  <c r="X10" i="10"/>
  <c r="P10" i="10"/>
  <c r="E9" i="10"/>
  <c r="X7" i="10"/>
  <c r="T7" i="10"/>
  <c r="P7" i="10"/>
  <c r="E6" i="10"/>
  <c r="X4" i="10"/>
  <c r="T4" i="10"/>
  <c r="P4" i="10"/>
  <c r="M3" i="10"/>
  <c r="I3" i="10"/>
  <c r="E3" i="10"/>
  <c r="Z59" i="10" l="1"/>
  <c r="N3" i="10"/>
  <c r="Q3" i="10"/>
  <c r="L3" i="10"/>
  <c r="R3" i="10" l="1"/>
  <c r="U3" i="10"/>
  <c r="P3" i="10"/>
  <c r="V3" i="10" l="1"/>
  <c r="Y3" i="10"/>
  <c r="T3" i="10"/>
  <c r="Z3" i="10" l="1"/>
  <c r="H6" i="10"/>
  <c r="X3" i="10"/>
  <c r="M6" i="10" l="1"/>
  <c r="I6" i="10"/>
  <c r="Q6" i="10" l="1"/>
  <c r="N6" i="10"/>
  <c r="L6" i="10"/>
  <c r="P6" i="10" l="1"/>
  <c r="U6" i="10"/>
  <c r="R6" i="10"/>
  <c r="V6" i="10" l="1"/>
  <c r="Y6" i="10"/>
  <c r="T6" i="10"/>
  <c r="Z6" i="10" l="1"/>
  <c r="H9" i="10"/>
  <c r="X6" i="10"/>
  <c r="I9" i="10" l="1"/>
  <c r="M9" i="10"/>
  <c r="Q9" i="10" l="1"/>
  <c r="L9" i="10"/>
  <c r="N9" i="10"/>
  <c r="R9" i="10" l="1"/>
  <c r="P9" i="10"/>
  <c r="U9" i="10"/>
  <c r="V9" i="10" l="1"/>
  <c r="Y9" i="10"/>
  <c r="H12" i="10" l="1"/>
  <c r="X9" i="10"/>
  <c r="Z9" i="10"/>
  <c r="I12" i="10" l="1"/>
  <c r="M12" i="10"/>
  <c r="N12" i="10" l="1"/>
  <c r="Q12" i="10"/>
  <c r="P12" i="10" l="1"/>
  <c r="U12" i="10"/>
  <c r="R12" i="10"/>
  <c r="V12" i="10" l="1"/>
  <c r="T12" i="10"/>
  <c r="Y12" i="10"/>
  <c r="H15" i="10" l="1"/>
  <c r="X12" i="10"/>
  <c r="Z12" i="10"/>
  <c r="I15" i="10" l="1"/>
  <c r="M15" i="10"/>
  <c r="Q15" i="10" l="1"/>
  <c r="L15" i="10"/>
  <c r="N15" i="10"/>
  <c r="U15" i="10" l="1"/>
  <c r="R15" i="10"/>
  <c r="P15" i="10"/>
  <c r="V15" i="10" l="1"/>
  <c r="T15" i="10"/>
  <c r="Y15" i="10"/>
  <c r="Z15" i="10" l="1"/>
  <c r="H18" i="10"/>
  <c r="X15" i="10"/>
  <c r="I18" i="10" l="1"/>
  <c r="M18" i="10"/>
  <c r="N18" i="10" l="1"/>
  <c r="Q18" i="10"/>
  <c r="L18" i="10"/>
  <c r="P18" i="10" l="1"/>
  <c r="U18" i="10"/>
  <c r="R18" i="10"/>
  <c r="V18" i="10" l="1"/>
  <c r="Y18" i="10"/>
  <c r="T18" i="10"/>
  <c r="H21" i="10" l="1"/>
  <c r="Z18" i="10"/>
  <c r="X18" i="10"/>
  <c r="I21" i="10" l="1"/>
  <c r="M21" i="10"/>
  <c r="Q21" i="10" l="1"/>
  <c r="L21" i="10"/>
  <c r="N21" i="10"/>
  <c r="U21" i="10" l="1"/>
  <c r="P21" i="10"/>
  <c r="R21" i="10"/>
  <c r="Y21" i="10" l="1"/>
  <c r="T21" i="10"/>
  <c r="V21" i="10"/>
  <c r="H24" i="10" l="1"/>
  <c r="Z21" i="10"/>
  <c r="X21" i="10"/>
  <c r="M24" i="10" l="1"/>
  <c r="I24" i="10"/>
  <c r="N24" i="10" l="1"/>
  <c r="L24" i="10"/>
  <c r="Q24" i="10"/>
  <c r="P24" i="10" l="1"/>
  <c r="R24" i="10"/>
  <c r="U24" i="10"/>
  <c r="T24" i="10" l="1"/>
  <c r="Y24" i="10"/>
  <c r="V24" i="10"/>
  <c r="Z24" i="10" l="1"/>
  <c r="X24" i="10"/>
  <c r="H27" i="10"/>
  <c r="M27" i="10" l="1"/>
  <c r="I27" i="10"/>
  <c r="L27" i="10" l="1"/>
  <c r="Q27" i="10"/>
  <c r="N27" i="10"/>
  <c r="R27" i="10" l="1"/>
  <c r="U27" i="10"/>
  <c r="P27" i="10"/>
  <c r="V27" i="10" l="1"/>
  <c r="Y27" i="10"/>
  <c r="T27" i="10"/>
  <c r="H30" i="10" l="1"/>
  <c r="M30" i="10" s="1"/>
  <c r="X27" i="10"/>
  <c r="Z27" i="10"/>
  <c r="I30" i="10" l="1"/>
  <c r="G30" i="10"/>
  <c r="L30" i="10"/>
  <c r="N30" i="10"/>
  <c r="Q30" i="10"/>
  <c r="P30" i="10" l="1"/>
  <c r="U30" i="10"/>
  <c r="R30" i="10"/>
  <c r="Y30" i="10" l="1"/>
  <c r="V30" i="10"/>
  <c r="T30" i="10"/>
  <c r="X30" i="10" l="1"/>
  <c r="H33" i="10"/>
  <c r="Z30" i="10"/>
  <c r="M33" i="10" l="1"/>
  <c r="G33" i="10"/>
  <c r="I33" i="10"/>
  <c r="N33" i="10" l="1"/>
  <c r="L33" i="10"/>
  <c r="Q33" i="10"/>
  <c r="R33" i="10" l="1"/>
  <c r="U33" i="10"/>
  <c r="P33" i="10"/>
  <c r="V33" i="10" l="1"/>
  <c r="Y33" i="10"/>
  <c r="T33" i="10"/>
  <c r="H36" i="10" l="1"/>
  <c r="Z33" i="10"/>
  <c r="X33" i="10"/>
  <c r="G36" i="10" l="1"/>
  <c r="I36" i="10"/>
  <c r="M36" i="10"/>
  <c r="Q36" i="10" l="1"/>
  <c r="N36" i="10"/>
  <c r="L36" i="10"/>
  <c r="P36" i="10" l="1"/>
  <c r="R36" i="10"/>
  <c r="U36" i="10"/>
  <c r="Y36" i="10" l="1"/>
  <c r="V36" i="10"/>
  <c r="T36" i="10"/>
  <c r="H39" i="10" l="1"/>
  <c r="Z36" i="10"/>
  <c r="X36" i="10"/>
  <c r="G39" i="10" l="1"/>
  <c r="I39" i="10"/>
  <c r="M39" i="10"/>
  <c r="N39" i="10" l="1"/>
  <c r="L39" i="10"/>
  <c r="Q39" i="10"/>
  <c r="P39" i="10" l="1"/>
  <c r="R39" i="10"/>
  <c r="U39" i="10"/>
  <c r="V39" i="10" l="1"/>
  <c r="T39" i="10"/>
  <c r="Y39" i="10"/>
  <c r="H42" i="10" l="1"/>
  <c r="Z39" i="10"/>
  <c r="X39" i="10"/>
  <c r="M42" i="10" l="1"/>
  <c r="I42" i="10"/>
  <c r="N42" i="10" l="1"/>
  <c r="Q42" i="10"/>
  <c r="L42" i="10"/>
  <c r="P42" i="10" l="1"/>
  <c r="R42" i="10"/>
  <c r="U42" i="10"/>
  <c r="Y42" i="10" l="1"/>
  <c r="V42" i="10"/>
  <c r="T42" i="10"/>
  <c r="Z42" i="10" l="1"/>
  <c r="X42" i="10"/>
  <c r="H45" i="10"/>
  <c r="I45" i="10" l="1"/>
  <c r="M45" i="10"/>
  <c r="G45" i="10"/>
  <c r="L45" i="10" l="1"/>
  <c r="N45" i="10"/>
  <c r="Q45" i="10"/>
  <c r="R45" i="10" l="1"/>
  <c r="P45" i="10"/>
  <c r="U45" i="10"/>
  <c r="T45" i="10" l="1"/>
  <c r="V45" i="10"/>
  <c r="Y45" i="10"/>
  <c r="X45" i="10" l="1"/>
  <c r="H48" i="10"/>
  <c r="Z45" i="10"/>
  <c r="M48" i="10" l="1"/>
  <c r="G48" i="10"/>
  <c r="I48" i="10"/>
  <c r="N48" i="10" l="1"/>
  <c r="L48" i="10"/>
  <c r="Q48" i="10"/>
  <c r="U48" i="10" l="1"/>
  <c r="R48" i="10"/>
  <c r="P48" i="10"/>
  <c r="T48" i="10" l="1"/>
  <c r="V48" i="10"/>
  <c r="Y48" i="10"/>
  <c r="X48" i="10" l="1"/>
  <c r="Z48" i="10"/>
  <c r="H51" i="10"/>
  <c r="G51" i="10" l="1"/>
  <c r="M51" i="10"/>
  <c r="I51" i="10"/>
  <c r="L51" i="10" l="1"/>
  <c r="Q51" i="10"/>
  <c r="N51" i="10"/>
  <c r="U51" i="10" l="1"/>
  <c r="R51" i="10"/>
  <c r="P51" i="10"/>
  <c r="V51" i="10" l="1"/>
  <c r="Y51" i="10"/>
  <c r="T51" i="10"/>
  <c r="X51" i="10" l="1"/>
  <c r="H54" i="10"/>
  <c r="Z51" i="10"/>
  <c r="G54" i="10" l="1"/>
  <c r="M54" i="10"/>
  <c r="I54" i="10"/>
  <c r="N54" i="10" l="1"/>
  <c r="L54" i="10"/>
  <c r="Q54" i="10"/>
  <c r="R54" i="10" l="1"/>
  <c r="P54" i="10"/>
  <c r="U54" i="10"/>
  <c r="T54" i="10" l="1"/>
  <c r="V54" i="10"/>
  <c r="Y54" i="10"/>
  <c r="X54" i="10" l="1"/>
  <c r="Z54" i="10"/>
  <c r="Z60" i="10" l="1"/>
</calcChain>
</file>

<file path=xl/sharedStrings.xml><?xml version="1.0" encoding="utf-8"?>
<sst xmlns="http://schemas.openxmlformats.org/spreadsheetml/2006/main" count="49" uniqueCount="25">
  <si>
    <t>Date:</t>
  </si>
  <si>
    <t>mt</t>
  </si>
  <si>
    <t>Panama</t>
  </si>
  <si>
    <t>PORT</t>
    <phoneticPr fontId="2"/>
  </si>
  <si>
    <t>DISTANCE</t>
    <phoneticPr fontId="2"/>
  </si>
  <si>
    <t>TIME DIFFERENCE</t>
    <phoneticPr fontId="2"/>
  </si>
  <si>
    <t>SPEED</t>
    <phoneticPr fontId="2"/>
  </si>
  <si>
    <t>STEAMING HOUR</t>
    <phoneticPr fontId="2"/>
  </si>
  <si>
    <t>ADJUSTMENT</t>
    <phoneticPr fontId="2"/>
  </si>
  <si>
    <t>ETA (P/S)</t>
    <phoneticPr fontId="2"/>
  </si>
  <si>
    <t>P/S TO BERTH</t>
    <phoneticPr fontId="2"/>
  </si>
  <si>
    <t>ETB</t>
    <phoneticPr fontId="2"/>
  </si>
  <si>
    <t>COMMENCE</t>
    <phoneticPr fontId="2"/>
  </si>
  <si>
    <t>COMPLETE</t>
    <phoneticPr fontId="2"/>
  </si>
  <si>
    <t>ETD</t>
    <phoneticPr fontId="2"/>
  </si>
  <si>
    <t>BERTH TO P/S</t>
    <phoneticPr fontId="2"/>
  </si>
  <si>
    <t>Difference</t>
  </si>
  <si>
    <t>T-MAX Information:</t>
  </si>
  <si>
    <t>Speed (kts)</t>
  </si>
  <si>
    <t>PCTC</t>
  </si>
  <si>
    <t>VLSFO Cons.:</t>
  </si>
  <si>
    <t>LSMGO Cons.:</t>
  </si>
  <si>
    <t>Costs</t>
  </si>
  <si>
    <t>Houston</t>
  </si>
  <si>
    <t>Hiroshima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</si>
</sst>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-* #,##0_-;\-* #,##0_-;_-* &quot;-&quot;_-;_-@_-"/>
    <numFmt numFmtId="166" formatCode="0.0_ "/>
    <numFmt numFmtId="168" formatCode="0.0"/>
    <numFmt numFmtId="176" formatCode="#,##0.0;[Red]\-#,##0.0"/>
    <numFmt numFmtId="177" formatCode="m\-d\-hhmm\ "/>
    <numFmt numFmtId="178" formatCode="m/d\ h:mm\ \(ddd\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3"/>
      <charset val="128"/>
      <scheme val="minor"/>
    </font>
    <font>
      <sz val="10.5"/>
      <name val="ＭＳ Ｐゴシック"/>
      <family val="3"/>
      <charset val="128"/>
    </font>
    <font>
      <sz val="10"/>
      <color indexed="8"/>
      <name val="Arial"/>
      <family val="2"/>
    </font>
    <font>
      <sz val="11"/>
      <name val="明朝"/>
      <family val="3"/>
      <charset val="128"/>
    </font>
    <font>
      <sz val="12"/>
      <name val="Times New Roman"/>
      <family val="1"/>
    </font>
    <font>
      <sz val="14"/>
      <name val="Times New Roman"/>
      <family val="1"/>
    </font>
    <font>
      <sz val="12"/>
      <color theme="0" tint="-0.499984740745262"/>
      <name val="Times New Roman"/>
      <family val="1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 diagonalUp="1"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medium">
        <color auto="1"/>
      </diagonal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/>
      <top style="medium">
        <color auto="1"/>
      </top>
      <bottom style="thin">
        <color auto="1"/>
      </bottom>
      <diagonal style="medium">
        <color auto="1"/>
      </diagonal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 diagonalUp="1"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 style="medium">
        <color indexed="64"/>
      </diagonal>
    </border>
  </borders>
  <cellStyleXfs count="10">
    <xf numFmtId="0" fontId="0" fillId="0" borderId="0"/>
    <xf numFmtId="0" fontId="4" fillId="0" borderId="0">
      <alignment vertical="top"/>
    </xf>
    <xf numFmtId="0" fontId="4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top"/>
    </xf>
    <xf numFmtId="0" fontId="8" fillId="0" borderId="0"/>
    <xf numFmtId="164" fontId="3" fillId="0" borderId="0" applyFont="0" applyFill="0" applyBorder="0" applyAlignment="0" applyProtection="0"/>
    <xf numFmtId="0" fontId="3" fillId="0" borderId="0"/>
    <xf numFmtId="0" fontId="13" fillId="0" borderId="0"/>
  </cellStyleXfs>
  <cellXfs count="116">
    <xf numFmtId="0" fontId="0" fillId="0" borderId="0" xfId="0"/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 textRotation="90"/>
    </xf>
    <xf numFmtId="0" fontId="9" fillId="4" borderId="31" xfId="0" applyFont="1" applyFill="1" applyBorder="1" applyAlignment="1">
      <alignment horizontal="center" vertical="center" textRotation="90"/>
    </xf>
    <xf numFmtId="176" fontId="11" fillId="3" borderId="10" xfId="7" applyNumberFormat="1" applyFont="1" applyFill="1" applyBorder="1" applyAlignment="1">
      <alignment horizontal="right" vertical="center"/>
    </xf>
    <xf numFmtId="166" fontId="11" fillId="3" borderId="7" xfId="0" applyNumberFormat="1" applyFont="1" applyFill="1" applyBorder="1" applyAlignment="1">
      <alignment vertical="center"/>
    </xf>
    <xf numFmtId="176" fontId="11" fillId="3" borderId="33" xfId="7" applyNumberFormat="1" applyFont="1" applyFill="1" applyBorder="1" applyAlignment="1">
      <alignment horizontal="right" vertical="center"/>
    </xf>
    <xf numFmtId="0" fontId="9" fillId="4" borderId="6" xfId="0" applyFont="1" applyFill="1" applyBorder="1" applyAlignment="1">
      <alignment horizontal="center" vertical="center" textRotation="90"/>
    </xf>
    <xf numFmtId="166" fontId="9" fillId="4" borderId="7" xfId="0" applyNumberFormat="1" applyFont="1" applyFill="1" applyBorder="1" applyAlignment="1">
      <alignment horizontal="center" vertical="center" textRotation="90"/>
    </xf>
    <xf numFmtId="176" fontId="11" fillId="3" borderId="7" xfId="7" applyNumberFormat="1" applyFont="1" applyFill="1" applyBorder="1" applyAlignment="1">
      <alignment horizontal="right" vertical="center"/>
    </xf>
    <xf numFmtId="166" fontId="11" fillId="3" borderId="24" xfId="0" applyNumberFormat="1" applyFont="1" applyFill="1" applyBorder="1" applyAlignment="1">
      <alignment vertical="center"/>
    </xf>
    <xf numFmtId="166" fontId="11" fillId="3" borderId="28" xfId="0" applyNumberFormat="1" applyFont="1" applyFill="1" applyBorder="1" applyAlignment="1">
      <alignment vertical="center"/>
    </xf>
    <xf numFmtId="166" fontId="11" fillId="2" borderId="7" xfId="0" applyNumberFormat="1" applyFont="1" applyFill="1" applyBorder="1" applyAlignment="1">
      <alignment vertical="center"/>
    </xf>
    <xf numFmtId="166" fontId="11" fillId="2" borderId="33" xfId="0" applyNumberFormat="1" applyFont="1" applyFill="1" applyBorder="1" applyAlignment="1">
      <alignment vertical="center"/>
    </xf>
    <xf numFmtId="166" fontId="11" fillId="2" borderId="10" xfId="0" applyNumberFormat="1" applyFont="1" applyFill="1" applyBorder="1" applyAlignment="1">
      <alignment vertical="center"/>
    </xf>
    <xf numFmtId="166" fontId="11" fillId="2" borderId="21" xfId="0" applyNumberFormat="1" applyFont="1" applyFill="1" applyBorder="1" applyAlignment="1">
      <alignment vertical="center"/>
    </xf>
    <xf numFmtId="166" fontId="11" fillId="2" borderId="25" xfId="0" applyNumberFormat="1" applyFont="1" applyFill="1" applyBorder="1" applyAlignment="1">
      <alignment vertical="center"/>
    </xf>
    <xf numFmtId="166" fontId="11" fillId="6" borderId="26" xfId="0" applyNumberFormat="1" applyFont="1" applyFill="1" applyBorder="1" applyAlignment="1">
      <alignment horizontal="center" vertical="center"/>
    </xf>
    <xf numFmtId="177" fontId="11" fillId="6" borderId="8" xfId="0" applyNumberFormat="1" applyFont="1" applyFill="1" applyBorder="1" applyAlignment="1">
      <alignment horizontal="right" vertical="center"/>
    </xf>
    <xf numFmtId="178" fontId="11" fillId="6" borderId="20" xfId="0" applyNumberFormat="1" applyFont="1" applyFill="1" applyBorder="1" applyAlignment="1">
      <alignment horizontal="center" vertical="center"/>
    </xf>
    <xf numFmtId="166" fontId="11" fillId="6" borderId="24" xfId="0" applyNumberFormat="1" applyFont="1" applyFill="1" applyBorder="1" applyAlignment="1">
      <alignment horizontal="center" vertical="center"/>
    </xf>
    <xf numFmtId="177" fontId="11" fillId="6" borderId="0" xfId="0" applyNumberFormat="1" applyFont="1" applyFill="1" applyAlignment="1">
      <alignment horizontal="right" vertical="center"/>
    </xf>
    <xf numFmtId="178" fontId="11" fillId="6" borderId="0" xfId="0" applyNumberFormat="1" applyFont="1" applyFill="1" applyAlignment="1">
      <alignment horizontal="center" vertical="center"/>
    </xf>
    <xf numFmtId="177" fontId="11" fillId="6" borderId="27" xfId="0" applyNumberFormat="1" applyFont="1" applyFill="1" applyBorder="1" applyAlignment="1">
      <alignment horizontal="right" vertical="center"/>
    </xf>
    <xf numFmtId="178" fontId="11" fillId="6" borderId="27" xfId="0" applyNumberFormat="1" applyFont="1" applyFill="1" applyBorder="1" applyAlignment="1">
      <alignment horizontal="center" vertical="center"/>
    </xf>
    <xf numFmtId="166" fontId="11" fillId="6" borderId="28" xfId="0" applyNumberFormat="1" applyFont="1" applyFill="1" applyBorder="1" applyAlignment="1">
      <alignment horizontal="center" vertical="center"/>
    </xf>
    <xf numFmtId="166" fontId="11" fillId="6" borderId="0" xfId="0" applyNumberFormat="1" applyFont="1" applyFill="1" applyAlignment="1">
      <alignment horizontal="center" vertical="center"/>
    </xf>
    <xf numFmtId="166" fontId="11" fillId="6" borderId="27" xfId="0" applyNumberFormat="1" applyFont="1" applyFill="1" applyBorder="1" applyAlignment="1">
      <alignment horizontal="center" vertical="center"/>
    </xf>
    <xf numFmtId="178" fontId="11" fillId="6" borderId="21" xfId="0" applyNumberFormat="1" applyFont="1" applyFill="1" applyBorder="1" applyAlignment="1">
      <alignment horizontal="center" vertical="center"/>
    </xf>
    <xf numFmtId="178" fontId="11" fillId="6" borderId="25" xfId="0" applyNumberFormat="1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0" fontId="1" fillId="3" borderId="23" xfId="0" applyFont="1" applyFill="1" applyBorder="1" applyAlignment="1">
      <alignment horizontal="left" vertical="top"/>
    </xf>
    <xf numFmtId="14" fontId="1" fillId="0" borderId="30" xfId="0" applyNumberFormat="1" applyFont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top"/>
    </xf>
    <xf numFmtId="0" fontId="1" fillId="0" borderId="30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3" borderId="22" xfId="0" applyFont="1" applyFill="1" applyBorder="1" applyAlignment="1">
      <alignment horizontal="left" vertical="top"/>
    </xf>
    <xf numFmtId="0" fontId="1" fillId="0" borderId="0" xfId="0" applyFont="1"/>
    <xf numFmtId="0" fontId="17" fillId="0" borderId="0" xfId="0" applyFont="1" applyAlignment="1">
      <alignment horizontal="left" vertical="top"/>
    </xf>
    <xf numFmtId="168" fontId="15" fillId="0" borderId="0" xfId="9" applyNumberFormat="1" applyFont="1" applyAlignment="1">
      <alignment horizontal="center" vertical="center"/>
    </xf>
    <xf numFmtId="0" fontId="16" fillId="0" borderId="0" xfId="9" applyFont="1" applyAlignment="1">
      <alignment horizontal="center" vertical="center"/>
    </xf>
    <xf numFmtId="168" fontId="16" fillId="0" borderId="0" xfId="9" applyNumberFormat="1" applyFont="1" applyAlignment="1">
      <alignment horizontal="center" vertical="center"/>
    </xf>
    <xf numFmtId="2" fontId="16" fillId="0" borderId="0" xfId="9" applyNumberFormat="1" applyFont="1" applyAlignment="1">
      <alignment horizontal="center" vertical="center"/>
    </xf>
    <xf numFmtId="2" fontId="7" fillId="0" borderId="37" xfId="9" applyNumberFormat="1" applyFont="1" applyBorder="1" applyAlignment="1">
      <alignment horizontal="center" vertical="center"/>
    </xf>
    <xf numFmtId="0" fontId="7" fillId="0" borderId="37" xfId="9" applyFont="1" applyBorder="1" applyAlignment="1">
      <alignment horizontal="center" vertical="center"/>
    </xf>
    <xf numFmtId="168" fontId="7" fillId="0" borderId="37" xfId="9" applyNumberFormat="1" applyFont="1" applyBorder="1" applyAlignment="1">
      <alignment horizontal="center" vertical="center"/>
    </xf>
    <xf numFmtId="0" fontId="0" fillId="0" borderId="44" xfId="0" applyBorder="1"/>
    <xf numFmtId="42" fontId="1" fillId="0" borderId="43" xfId="0" applyNumberFormat="1" applyFont="1" applyBorder="1"/>
    <xf numFmtId="42" fontId="1" fillId="0" borderId="44" xfId="0" applyNumberFormat="1" applyFont="1" applyBorder="1"/>
    <xf numFmtId="2" fontId="1" fillId="3" borderId="29" xfId="0" applyNumberFormat="1" applyFont="1" applyFill="1" applyBorder="1" applyAlignment="1">
      <alignment horizontal="right" vertical="center"/>
    </xf>
    <xf numFmtId="2" fontId="1" fillId="3" borderId="30" xfId="0" applyNumberFormat="1" applyFont="1" applyFill="1" applyBorder="1" applyAlignment="1">
      <alignment horizontal="right" vertical="center"/>
    </xf>
    <xf numFmtId="2" fontId="1" fillId="3" borderId="36" xfId="0" applyNumberFormat="1" applyFont="1" applyFill="1" applyBorder="1" applyAlignment="1">
      <alignment horizontal="right" vertical="center"/>
    </xf>
    <xf numFmtId="0" fontId="0" fillId="0" borderId="46" xfId="0" applyBorder="1"/>
    <xf numFmtId="0" fontId="1" fillId="7" borderId="15" xfId="0" applyFont="1" applyFill="1" applyBorder="1" applyAlignment="1">
      <alignment horizontal="center" vertical="center"/>
    </xf>
    <xf numFmtId="0" fontId="0" fillId="0" borderId="47" xfId="0" applyBorder="1"/>
    <xf numFmtId="44" fontId="0" fillId="0" borderId="46" xfId="0" applyNumberFormat="1" applyBorder="1"/>
    <xf numFmtId="2" fontId="1" fillId="0" borderId="16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2" fontId="1" fillId="0" borderId="40" xfId="0" applyNumberFormat="1" applyFont="1" applyBorder="1" applyAlignment="1">
      <alignment horizontal="left" vertical="top"/>
    </xf>
    <xf numFmtId="0" fontId="1" fillId="0" borderId="39" xfId="0" applyFont="1" applyBorder="1" applyAlignment="1">
      <alignment horizontal="left" vertical="top"/>
    </xf>
    <xf numFmtId="0" fontId="1" fillId="7" borderId="1" xfId="0" applyFont="1" applyFill="1" applyBorder="1"/>
    <xf numFmtId="0" fontId="1" fillId="7" borderId="38" xfId="0" applyFont="1" applyFill="1" applyBorder="1"/>
    <xf numFmtId="168" fontId="4" fillId="8" borderId="37" xfId="9" applyNumberFormat="1" applyFont="1" applyFill="1" applyBorder="1" applyAlignment="1">
      <alignment horizontal="center" vertical="center"/>
    </xf>
    <xf numFmtId="0" fontId="14" fillId="8" borderId="37" xfId="9" applyFont="1" applyFill="1" applyBorder="1" applyAlignment="1">
      <alignment vertical="center" wrapText="1"/>
    </xf>
    <xf numFmtId="0" fontId="1" fillId="0" borderId="8" xfId="0" applyFont="1" applyBorder="1"/>
    <xf numFmtId="0" fontId="1" fillId="7" borderId="6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0" fillId="0" borderId="35" xfId="0" applyBorder="1"/>
    <xf numFmtId="0" fontId="0" fillId="0" borderId="45" xfId="0" applyBorder="1"/>
    <xf numFmtId="2" fontId="12" fillId="0" borderId="3" xfId="0" applyNumberFormat="1" applyFont="1" applyBorder="1" applyAlignment="1">
      <alignment horizontal="center" vertical="center"/>
    </xf>
    <xf numFmtId="2" fontId="12" fillId="0" borderId="41" xfId="0" applyNumberFormat="1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166" fontId="9" fillId="6" borderId="0" xfId="0" applyNumberFormat="1" applyFont="1" applyFill="1" applyAlignment="1">
      <alignment horizontal="center" vertical="center"/>
    </xf>
    <xf numFmtId="166" fontId="9" fillId="6" borderId="14" xfId="0" applyNumberFormat="1" applyFont="1" applyFill="1" applyBorder="1" applyAlignment="1">
      <alignment horizontal="center" vertical="center"/>
    </xf>
    <xf numFmtId="177" fontId="10" fillId="6" borderId="0" xfId="0" applyNumberFormat="1" applyFont="1" applyFill="1" applyAlignment="1">
      <alignment horizontal="right" vertical="center"/>
    </xf>
    <xf numFmtId="177" fontId="10" fillId="6" borderId="14" xfId="0" applyNumberFormat="1" applyFont="1" applyFill="1" applyBorder="1" applyAlignment="1">
      <alignment horizontal="right" vertical="center"/>
    </xf>
    <xf numFmtId="178" fontId="10" fillId="6" borderId="0" xfId="0" applyNumberFormat="1" applyFont="1" applyFill="1" applyAlignment="1">
      <alignment horizontal="center" vertical="center"/>
    </xf>
    <xf numFmtId="178" fontId="10" fillId="6" borderId="14" xfId="0" applyNumberFormat="1" applyFont="1" applyFill="1" applyBorder="1" applyAlignment="1">
      <alignment horizontal="center" vertical="center"/>
    </xf>
    <xf numFmtId="166" fontId="9" fillId="2" borderId="10" xfId="0" applyNumberFormat="1" applyFont="1" applyFill="1" applyBorder="1" applyAlignment="1">
      <alignment vertical="center"/>
    </xf>
    <xf numFmtId="166" fontId="9" fillId="2" borderId="12" xfId="0" applyNumberFormat="1" applyFont="1" applyFill="1" applyBorder="1" applyAlignment="1">
      <alignment vertical="center"/>
    </xf>
    <xf numFmtId="166" fontId="9" fillId="2" borderId="21" xfId="0" applyNumberFormat="1" applyFont="1" applyFill="1" applyBorder="1" applyAlignment="1">
      <alignment vertical="center"/>
    </xf>
    <xf numFmtId="166" fontId="9" fillId="2" borderId="11" xfId="0" applyNumberFormat="1" applyFont="1" applyFill="1" applyBorder="1" applyAlignment="1">
      <alignment vertical="center"/>
    </xf>
    <xf numFmtId="166" fontId="9" fillId="6" borderId="24" xfId="0" applyNumberFormat="1" applyFont="1" applyFill="1" applyBorder="1" applyAlignment="1">
      <alignment horizontal="center" vertical="center"/>
    </xf>
    <xf numFmtId="166" fontId="9" fillId="6" borderId="13" xfId="0" applyNumberFormat="1" applyFont="1" applyFill="1" applyBorder="1" applyAlignment="1">
      <alignment horizontal="center" vertical="center"/>
    </xf>
    <xf numFmtId="0" fontId="14" fillId="8" borderId="37" xfId="9" applyFont="1" applyFill="1" applyBorder="1" applyAlignment="1">
      <alignment vertical="center" wrapText="1"/>
    </xf>
    <xf numFmtId="0" fontId="10" fillId="3" borderId="32" xfId="0" quotePrefix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9" fillId="3" borderId="33" xfId="7" applyFont="1" applyFill="1" applyBorder="1" applyAlignment="1">
      <alignment vertical="center"/>
    </xf>
    <xf numFmtId="164" fontId="9" fillId="3" borderId="10" xfId="7" applyFont="1" applyFill="1" applyBorder="1" applyAlignment="1">
      <alignment vertical="center"/>
    </xf>
    <xf numFmtId="164" fontId="9" fillId="3" borderId="12" xfId="7" applyFont="1" applyFill="1" applyBorder="1" applyAlignment="1">
      <alignment vertical="center"/>
    </xf>
    <xf numFmtId="168" fontId="9" fillId="2" borderId="33" xfId="0" applyNumberFormat="1" applyFont="1" applyFill="1" applyBorder="1" applyAlignment="1">
      <alignment vertical="center"/>
    </xf>
    <xf numFmtId="168" fontId="9" fillId="2" borderId="10" xfId="0" applyNumberFormat="1" applyFont="1" applyFill="1" applyBorder="1" applyAlignment="1">
      <alignment vertical="center"/>
    </xf>
    <xf numFmtId="168" fontId="9" fillId="2" borderId="12" xfId="0" applyNumberFormat="1" applyFont="1" applyFill="1" applyBorder="1" applyAlignment="1">
      <alignment vertical="center"/>
    </xf>
    <xf numFmtId="176" fontId="9" fillId="3" borderId="10" xfId="7" applyNumberFormat="1" applyFont="1" applyFill="1" applyBorder="1" applyAlignment="1">
      <alignment horizontal="right" vertical="center"/>
    </xf>
    <xf numFmtId="176" fontId="9" fillId="3" borderId="12" xfId="7" applyNumberFormat="1" applyFont="1" applyFill="1" applyBorder="1" applyAlignment="1">
      <alignment horizontal="right" vertical="center"/>
    </xf>
    <xf numFmtId="166" fontId="9" fillId="3" borderId="24" xfId="0" applyNumberFormat="1" applyFont="1" applyFill="1" applyBorder="1" applyAlignment="1">
      <alignment horizontal="right" vertical="center"/>
    </xf>
    <xf numFmtId="166" fontId="9" fillId="3" borderId="13" xfId="0" applyNumberFormat="1" applyFont="1" applyFill="1" applyBorder="1" applyAlignment="1">
      <alignment horizontal="right" vertical="center"/>
    </xf>
    <xf numFmtId="0" fontId="10" fillId="3" borderId="32" xfId="0" applyFont="1" applyFill="1" applyBorder="1" applyAlignment="1">
      <alignment horizontal="center" vertical="center"/>
    </xf>
    <xf numFmtId="178" fontId="10" fillId="6" borderId="21" xfId="0" applyNumberFormat="1" applyFont="1" applyFill="1" applyBorder="1" applyAlignment="1">
      <alignment horizontal="center" vertical="center"/>
    </xf>
    <xf numFmtId="178" fontId="10" fillId="6" borderId="11" xfId="0" applyNumberFormat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2" xfId="0" applyFont="1" applyFill="1" applyBorder="1" applyAlignment="1">
      <alignment vertical="center"/>
    </xf>
    <xf numFmtId="164" fontId="9" fillId="3" borderId="7" xfId="7" applyFont="1" applyFill="1" applyBorder="1" applyAlignment="1">
      <alignment vertical="center"/>
    </xf>
    <xf numFmtId="0" fontId="9" fillId="2" borderId="7" xfId="0" applyFont="1" applyFill="1" applyBorder="1" applyAlignment="1">
      <alignment vertical="center"/>
    </xf>
    <xf numFmtId="166" fontId="9" fillId="3" borderId="10" xfId="0" applyNumberFormat="1" applyFont="1" applyFill="1" applyBorder="1" applyAlignment="1">
      <alignment horizontal="right" vertical="center"/>
    </xf>
    <xf numFmtId="166" fontId="9" fillId="3" borderId="12" xfId="0" applyNumberFormat="1" applyFont="1" applyFill="1" applyBorder="1" applyAlignment="1">
      <alignment horizontal="right" vertical="center"/>
    </xf>
    <xf numFmtId="0" fontId="10" fillId="5" borderId="2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</cellXfs>
  <cellStyles count="10">
    <cellStyle name="Comma [0]" xfId="7" builtinId="6"/>
    <cellStyle name="Normal" xfId="0" builtinId="0"/>
    <cellStyle name="Normal 2" xfId="9" xr:uid="{CB5FDEFE-A2EC-4B74-9482-FDBF65F35072}"/>
    <cellStyle name="Normal 6" xfId="8" xr:uid="{00000000-0005-0000-0000-000003000000}"/>
    <cellStyle name="標準 21" xfId="1" xr:uid="{00000000-0005-0000-0000-000004000000}"/>
    <cellStyle name="標準 3" xfId="5" xr:uid="{00000000-0005-0000-0000-000005000000}"/>
    <cellStyle name="標準 4" xfId="3" xr:uid="{00000000-0005-0000-0000-000006000000}"/>
    <cellStyle name="標準 5" xfId="4" xr:uid="{00000000-0005-0000-0000-000007000000}"/>
    <cellStyle name="標準 6" xfId="2" xr:uid="{00000000-0005-0000-0000-000008000000}"/>
    <cellStyle name="標準_(form)particular" xfId="6" xr:uid="{00000000-0005-0000-0000-000009000000}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FH71"/>
  <sheetViews>
    <sheetView tabSelected="1" zoomScale="70" zoomScaleNormal="70" workbookViewId="0">
      <selection activeCell="AG17" sqref="AG17"/>
    </sheetView>
  </sheetViews>
  <sheetFormatPr defaultRowHeight="14.4"/>
  <cols>
    <col min="1" max="1" width="25.33203125" customWidth="1"/>
    <col min="2" max="7" width="9.33203125" bestFit="1" customWidth="1"/>
    <col min="8" max="8" width="14.88671875" customWidth="1"/>
    <col min="9" max="9" width="10.5546875" customWidth="1"/>
    <col min="10" max="11" width="9.33203125" bestFit="1" customWidth="1"/>
    <col min="13" max="13" width="14.88671875" customWidth="1"/>
    <col min="15" max="15" width="9.33203125" bestFit="1" customWidth="1"/>
    <col min="17" max="17" width="15.44140625" customWidth="1"/>
    <col min="19" max="19" width="9.33203125" bestFit="1" customWidth="1"/>
    <col min="20" max="20" width="9.5546875" customWidth="1"/>
    <col min="21" max="22" width="15.109375" customWidth="1"/>
    <col min="23" max="23" width="9.33203125" bestFit="1" customWidth="1"/>
    <col min="25" max="25" width="17.5546875" customWidth="1"/>
    <col min="26" max="26" width="10.6640625" bestFit="1" customWidth="1"/>
    <col min="27" max="27" width="9.33203125" bestFit="1" customWidth="1"/>
  </cols>
  <sheetData>
    <row r="1" spans="1:27" ht="131.25" customHeight="1" thickBot="1">
      <c r="A1" s="1" t="s">
        <v>3</v>
      </c>
      <c r="B1" s="2" t="s">
        <v>4</v>
      </c>
      <c r="C1" s="2" t="s">
        <v>5</v>
      </c>
      <c r="D1" s="2" t="s">
        <v>6</v>
      </c>
      <c r="E1" s="3" t="s">
        <v>7</v>
      </c>
      <c r="F1" s="7" t="s">
        <v>8</v>
      </c>
      <c r="G1" s="113" t="s">
        <v>9</v>
      </c>
      <c r="H1" s="114"/>
      <c r="I1" s="115"/>
      <c r="J1" s="2" t="s">
        <v>8</v>
      </c>
      <c r="K1" s="8" t="s">
        <v>10</v>
      </c>
      <c r="L1" s="113" t="s">
        <v>11</v>
      </c>
      <c r="M1" s="114"/>
      <c r="N1" s="115"/>
      <c r="O1" s="2" t="s">
        <v>8</v>
      </c>
      <c r="P1" s="113" t="s">
        <v>12</v>
      </c>
      <c r="Q1" s="114"/>
      <c r="R1" s="115"/>
      <c r="S1" s="2" t="s">
        <v>8</v>
      </c>
      <c r="T1" s="113" t="s">
        <v>13</v>
      </c>
      <c r="U1" s="114"/>
      <c r="V1" s="115"/>
      <c r="W1" s="2" t="s">
        <v>8</v>
      </c>
      <c r="X1" s="113" t="s">
        <v>14</v>
      </c>
      <c r="Y1" s="114"/>
      <c r="Z1" s="115"/>
      <c r="AA1" s="3" t="s">
        <v>15</v>
      </c>
    </row>
    <row r="2" spans="1:27" ht="12" customHeight="1">
      <c r="A2" s="102" t="s">
        <v>23</v>
      </c>
      <c r="B2" s="109"/>
      <c r="C2" s="110"/>
      <c r="D2" s="9"/>
      <c r="E2" s="5"/>
      <c r="F2" s="12"/>
      <c r="G2" s="17"/>
      <c r="H2" s="18"/>
      <c r="I2" s="19"/>
      <c r="J2" s="12"/>
      <c r="K2" s="12"/>
      <c r="L2" s="17"/>
      <c r="M2" s="18"/>
      <c r="N2" s="19"/>
      <c r="O2" s="12"/>
      <c r="P2" s="17"/>
      <c r="Q2" s="18"/>
      <c r="R2" s="19"/>
      <c r="S2" s="12"/>
      <c r="T2" s="17"/>
      <c r="U2" s="18"/>
      <c r="V2" s="19"/>
      <c r="W2" s="12"/>
      <c r="X2" s="17"/>
      <c r="Y2" s="18"/>
      <c r="Z2" s="19"/>
      <c r="AA2" s="12"/>
    </row>
    <row r="3" spans="1:27" ht="12" customHeight="1">
      <c r="A3" s="105"/>
      <c r="B3" s="93"/>
      <c r="C3" s="107"/>
      <c r="D3" s="98">
        <v>15.8</v>
      </c>
      <c r="E3" s="111">
        <f>B2/D3</f>
        <v>0</v>
      </c>
      <c r="F3" s="82">
        <v>0</v>
      </c>
      <c r="G3" s="86"/>
      <c r="H3" s="78">
        <v>44504.916666666664</v>
      </c>
      <c r="I3" s="103" t="str">
        <f>IF(H3="","",CHOOSE((WEEKDAY(H3,2)),"(Mon)","(Tue)","(Wed)","(Thu)","(Fri)","(Sat)","(Sun)"))</f>
        <v>(Thu)</v>
      </c>
      <c r="J3" s="82">
        <v>0</v>
      </c>
      <c r="K3" s="82">
        <v>4</v>
      </c>
      <c r="L3" s="86" t="str">
        <f>IF(M3&lt;H3,"×","")</f>
        <v/>
      </c>
      <c r="M3" s="78">
        <f>FLOOR(H3+(K3+J3)/24,1/48)</f>
        <v>44505.083333333328</v>
      </c>
      <c r="N3" s="103" t="str">
        <f>IF(M3="","",CHOOSE((WEEKDAY(M3,2)),"(Mon)","(Tue)","(Wed)","(Thu)","(Fri)","(Sat)","(Sun)"))</f>
        <v>(Fri)</v>
      </c>
      <c r="O3" s="82">
        <v>2</v>
      </c>
      <c r="P3" s="86" t="str">
        <f>IF(Q3&lt;M3,"×","")</f>
        <v/>
      </c>
      <c r="Q3" s="78">
        <f>FLOOR(M3+O3/24,1/48)</f>
        <v>44505.166666666664</v>
      </c>
      <c r="R3" s="103" t="str">
        <f>IF(Q3="","",CHOOSE((WEEKDAY(Q3,2)),"(Mon)","(Tue)","(Wed)","(Thu)","(Fri)","(Sat)","(Sun)"))</f>
        <v>(Fri)</v>
      </c>
      <c r="S3" s="82">
        <v>11</v>
      </c>
      <c r="T3" s="86" t="str">
        <f>IF(U3&lt;Q3,"×","")</f>
        <v/>
      </c>
      <c r="U3" s="78">
        <f>FLOOR(Q3+(AH2+S3)/24,1/48)</f>
        <v>44505.625</v>
      </c>
      <c r="V3" s="103" t="str">
        <f>IF(U3="","",CHOOSE((WEEKDAY(U3,2)),"(Mon)","(Tue)","(Wed)","(Thu)","(Fri)","(Sat)","(Sun)"))</f>
        <v>(Fri)</v>
      </c>
      <c r="W3" s="82">
        <v>1</v>
      </c>
      <c r="X3" s="86" t="str">
        <f>IF(Y3&lt;U3,"×","")</f>
        <v/>
      </c>
      <c r="Y3" s="78">
        <f>FLOOR(U3+W3/24,1/48)</f>
        <v>44505.666666666664</v>
      </c>
      <c r="Z3" s="103" t="str">
        <f>IF(Y3="","",CHOOSE((WEEKDAY(Y3,2)),"(Mon)","(Tue)","(Wed)","(Thu)","(Fri)","(Sat)","(Sun)"))</f>
        <v>(Fri)</v>
      </c>
      <c r="AA3" s="82">
        <v>0</v>
      </c>
    </row>
    <row r="4" spans="1:27" ht="12" customHeight="1">
      <c r="A4" s="106"/>
      <c r="B4" s="94"/>
      <c r="C4" s="108"/>
      <c r="D4" s="99"/>
      <c r="E4" s="112"/>
      <c r="F4" s="83"/>
      <c r="G4" s="87"/>
      <c r="H4" s="79"/>
      <c r="I4" s="104"/>
      <c r="J4" s="83"/>
      <c r="K4" s="83"/>
      <c r="L4" s="87"/>
      <c r="M4" s="79"/>
      <c r="N4" s="104"/>
      <c r="O4" s="83"/>
      <c r="P4" s="87" t="str">
        <f>IF(Q4&lt;M4,"×","")</f>
        <v/>
      </c>
      <c r="Q4" s="79"/>
      <c r="R4" s="104"/>
      <c r="S4" s="83"/>
      <c r="T4" s="87" t="e">
        <f>IF(U4&lt;#REF!,"×","")</f>
        <v>#REF!</v>
      </c>
      <c r="U4" s="79"/>
      <c r="V4" s="104"/>
      <c r="W4" s="83"/>
      <c r="X4" s="87" t="str">
        <f>IF(Y4&lt;U4,"×","")</f>
        <v/>
      </c>
      <c r="Y4" s="79"/>
      <c r="Z4" s="104"/>
      <c r="AA4" s="83"/>
    </row>
    <row r="5" spans="1:27" ht="12" customHeight="1">
      <c r="A5" s="102" t="s">
        <v>2</v>
      </c>
      <c r="B5" s="93">
        <v>1990</v>
      </c>
      <c r="C5" s="107">
        <v>-1</v>
      </c>
      <c r="D5" s="4"/>
      <c r="E5" s="10"/>
      <c r="F5" s="13"/>
      <c r="G5" s="20"/>
      <c r="H5" s="21"/>
      <c r="I5" s="22"/>
      <c r="J5" s="13"/>
      <c r="K5" s="15"/>
      <c r="L5" s="20"/>
      <c r="M5" s="21"/>
      <c r="N5" s="22"/>
      <c r="O5" s="13"/>
      <c r="P5" s="26"/>
      <c r="Q5" s="21"/>
      <c r="R5" s="22"/>
      <c r="S5" s="13"/>
      <c r="T5" s="26"/>
      <c r="U5" s="21"/>
      <c r="V5" s="28"/>
      <c r="W5" s="14"/>
      <c r="X5" s="20"/>
      <c r="Y5" s="21"/>
      <c r="Z5" s="22"/>
      <c r="AA5" s="13"/>
    </row>
    <row r="6" spans="1:27" ht="12" customHeight="1">
      <c r="A6" s="105"/>
      <c r="B6" s="93"/>
      <c r="C6" s="107"/>
      <c r="D6" s="98">
        <v>17</v>
      </c>
      <c r="E6" s="100">
        <f>B5/D6</f>
        <v>117.05882352941177</v>
      </c>
      <c r="F6" s="82">
        <v>0</v>
      </c>
      <c r="G6" s="86"/>
      <c r="H6" s="78">
        <f>FLOOR(Y3+(AA3+E6+C5+F6)/24,1/48)</f>
        <v>44510.5</v>
      </c>
      <c r="I6" s="80" t="str">
        <f>IF(H6="","",CHOOSE((WEEKDAY(H6,2)),"(Mon)","(Tue)","(Wed)","(Thu)","(Fri)","(Sat)","(Sun)"))</f>
        <v>(Wed)</v>
      </c>
      <c r="J6" s="82">
        <v>0</v>
      </c>
      <c r="K6" s="84">
        <v>2</v>
      </c>
      <c r="L6" s="86" t="str">
        <f>IF(M6&lt;H6,"×","")</f>
        <v/>
      </c>
      <c r="M6" s="78">
        <f>FLOOR(H6+(K6+J6)/24,1/48)</f>
        <v>44510.583333333328</v>
      </c>
      <c r="N6" s="80" t="str">
        <f>IF(M6="","",CHOOSE((WEEKDAY(M6,2)),"(Mon)","(Tue)","(Wed)","(Thu)","(Fri)","(Sat)","(Sun)"))</f>
        <v>(Wed)</v>
      </c>
      <c r="O6" s="82">
        <v>4.5</v>
      </c>
      <c r="P6" s="76" t="str">
        <f>IF(Q6&lt;M6,"×","")</f>
        <v/>
      </c>
      <c r="Q6" s="78">
        <f>FLOOR(M6+O6/24,1/48)</f>
        <v>44510.770833333328</v>
      </c>
      <c r="R6" s="80" t="str">
        <f>IF(Q6="","",CHOOSE((WEEKDAY(Q6,2)),"(Mon)","(Tue)","(Wed)","(Thu)","(Fri)","(Sat)","(Sun)"))</f>
        <v>(Wed)</v>
      </c>
      <c r="S6" s="82">
        <v>8</v>
      </c>
      <c r="T6" s="76" t="str">
        <f>IF(U6&lt;Q6,"×","")</f>
        <v/>
      </c>
      <c r="U6" s="78">
        <f>FLOOR(Q6+(AH5+S6)/24,1/48)</f>
        <v>44511.104166666664</v>
      </c>
      <c r="V6" s="103" t="str">
        <f>IF(U6="","",CHOOSE((WEEKDAY(U6,2)),"(Mon)","(Tue)","(Wed)","(Thu)","(Fri)","(Sat)","(Sun)"))</f>
        <v>(Thu)</v>
      </c>
      <c r="W6" s="82">
        <v>1</v>
      </c>
      <c r="X6" s="86" t="str">
        <f>IF(Y6&lt;U6,"×","")</f>
        <v/>
      </c>
      <c r="Y6" s="78">
        <f>FLOOR(U6+W6/24,1/48)</f>
        <v>44511.145833333328</v>
      </c>
      <c r="Z6" s="80" t="str">
        <f>IF(Y6="","",CHOOSE((WEEKDAY(Y6,2)),"(Mon)","(Tue)","(Wed)","(Thu)","(Fri)","(Sat)","(Sun)"))</f>
        <v>(Thu)</v>
      </c>
      <c r="AA6" s="82">
        <v>2</v>
      </c>
    </row>
    <row r="7" spans="1:27" ht="12" customHeight="1">
      <c r="A7" s="106"/>
      <c r="B7" s="94"/>
      <c r="C7" s="108"/>
      <c r="D7" s="99"/>
      <c r="E7" s="101"/>
      <c r="F7" s="83"/>
      <c r="G7" s="87"/>
      <c r="H7" s="79"/>
      <c r="I7" s="81"/>
      <c r="J7" s="83"/>
      <c r="K7" s="85"/>
      <c r="L7" s="87"/>
      <c r="M7" s="79"/>
      <c r="N7" s="81"/>
      <c r="O7" s="83"/>
      <c r="P7" s="77" t="str">
        <f>IF(Q7&lt;M7,"×","")</f>
        <v/>
      </c>
      <c r="Q7" s="79"/>
      <c r="R7" s="81"/>
      <c r="S7" s="83"/>
      <c r="T7" s="77" t="e">
        <f>IF(U7&lt;#REF!,"×","")</f>
        <v>#REF!</v>
      </c>
      <c r="U7" s="79"/>
      <c r="V7" s="104"/>
      <c r="W7" s="83"/>
      <c r="X7" s="87" t="str">
        <f>IF(Y7&lt;U7,"×","")</f>
        <v/>
      </c>
      <c r="Y7" s="79"/>
      <c r="Z7" s="81"/>
      <c r="AA7" s="82"/>
    </row>
    <row r="8" spans="1:27" ht="12" customHeight="1">
      <c r="A8" s="102" t="s">
        <v>24</v>
      </c>
      <c r="B8" s="92">
        <v>1550</v>
      </c>
      <c r="C8" s="96">
        <v>4</v>
      </c>
      <c r="D8" s="4"/>
      <c r="E8" s="10"/>
      <c r="F8" s="14"/>
      <c r="G8" s="20"/>
      <c r="H8" s="23"/>
      <c r="I8" s="24"/>
      <c r="J8" s="13"/>
      <c r="K8" s="16"/>
      <c r="L8" s="25"/>
      <c r="M8" s="23"/>
      <c r="N8" s="24"/>
      <c r="O8" s="13"/>
      <c r="P8" s="27"/>
      <c r="Q8" s="23"/>
      <c r="R8" s="24"/>
      <c r="S8" s="13"/>
      <c r="T8" s="27"/>
      <c r="U8" s="23"/>
      <c r="V8" s="29"/>
      <c r="W8" s="13"/>
      <c r="X8" s="25"/>
      <c r="Y8" s="23"/>
      <c r="Z8" s="24"/>
      <c r="AA8" s="13"/>
    </row>
    <row r="9" spans="1:27" ht="12" customHeight="1">
      <c r="A9" s="105"/>
      <c r="B9" s="93"/>
      <c r="C9" s="96"/>
      <c r="D9" s="98">
        <v>17</v>
      </c>
      <c r="E9" s="100">
        <f>B8/D9</f>
        <v>91.17647058823529</v>
      </c>
      <c r="F9" s="82">
        <v>0</v>
      </c>
      <c r="G9" s="86"/>
      <c r="H9" s="78">
        <f>FLOOR(Y6+(AA6+E9+C8+F9)/24,1/48)</f>
        <v>44515.1875</v>
      </c>
      <c r="I9" s="80" t="str">
        <f>IF(H9="","",CHOOSE((WEEKDAY(H9,2)),"(Mon)","(Tue)","(Wed)","(Thu)","(Fri)","(Sat)","(Sun)"))</f>
        <v>(Mon)</v>
      </c>
      <c r="J9" s="82">
        <v>0</v>
      </c>
      <c r="K9" s="84">
        <v>1</v>
      </c>
      <c r="L9" s="86" t="str">
        <f>IF(M9&lt;H9,"×","")</f>
        <v/>
      </c>
      <c r="M9" s="78">
        <f>FLOOR(H9+(K9+J9)/24,1/48)</f>
        <v>44515.229166666664</v>
      </c>
      <c r="N9" s="80" t="str">
        <f>IF(M9="","",CHOOSE((WEEKDAY(M9,2)),"(Mon)","(Tue)","(Wed)","(Thu)","(Fri)","(Sat)","(Sun)"))</f>
        <v>(Mon)</v>
      </c>
      <c r="O9" s="82">
        <v>11</v>
      </c>
      <c r="P9" s="76" t="str">
        <f>IF(Q9&lt;M9,"×","")</f>
        <v/>
      </c>
      <c r="Q9" s="78">
        <f>FLOOR(M9+O9/24,1/48)</f>
        <v>44515.6875</v>
      </c>
      <c r="R9" s="80" t="str">
        <f>IF(Q9="","",CHOOSE((WEEKDAY(Q9,2)),"(Mon)","(Tue)","(Wed)","(Thu)","(Fri)","(Sat)","(Sun)"))</f>
        <v>(Mon)</v>
      </c>
      <c r="S9" s="82">
        <v>12</v>
      </c>
      <c r="T9" s="76"/>
      <c r="U9" s="78">
        <f>FLOOR(Q9+(AH8+S9)/24,1/48)</f>
        <v>44516.1875</v>
      </c>
      <c r="V9" s="103" t="str">
        <f>IF(U9="","",CHOOSE((WEEKDAY(U9,2)),"(Mon)","(Tue)","(Wed)","(Thu)","(Fri)","(Sat)","(Sun)"))</f>
        <v>(Tue)</v>
      </c>
      <c r="W9" s="82">
        <v>1</v>
      </c>
      <c r="X9" s="86" t="str">
        <f>IF(Y9&lt;U9,"×","")</f>
        <v/>
      </c>
      <c r="Y9" s="78">
        <f>FLOOR(U9+W9/24,1/48)</f>
        <v>44516.229166666664</v>
      </c>
      <c r="Z9" s="80" t="str">
        <f>IF(Y9="","",CHOOSE((WEEKDAY(Y9,2)),"(Mon)","(Tue)","(Wed)","(Thu)","(Fri)","(Sat)","(Sun)"))</f>
        <v>(Tue)</v>
      </c>
      <c r="AA9" s="82">
        <v>1</v>
      </c>
    </row>
    <row r="10" spans="1:27" ht="12" customHeight="1">
      <c r="A10" s="106"/>
      <c r="B10" s="94"/>
      <c r="C10" s="97"/>
      <c r="D10" s="99"/>
      <c r="E10" s="101"/>
      <c r="F10" s="83"/>
      <c r="G10" s="87"/>
      <c r="H10" s="79"/>
      <c r="I10" s="81"/>
      <c r="J10" s="83"/>
      <c r="K10" s="85"/>
      <c r="L10" s="87"/>
      <c r="M10" s="79"/>
      <c r="N10" s="81"/>
      <c r="O10" s="83"/>
      <c r="P10" s="77" t="str">
        <f>IF(Q10&lt;M10,"×","")</f>
        <v/>
      </c>
      <c r="Q10" s="79"/>
      <c r="R10" s="81"/>
      <c r="S10" s="83"/>
      <c r="T10" s="77"/>
      <c r="U10" s="79"/>
      <c r="V10" s="104"/>
      <c r="W10" s="83"/>
      <c r="X10" s="87" t="str">
        <f>IF(Y10&lt;U10,"×","")</f>
        <v/>
      </c>
      <c r="Y10" s="79"/>
      <c r="Z10" s="81"/>
      <c r="AA10" s="83"/>
    </row>
    <row r="11" spans="1:27" ht="12" customHeight="1">
      <c r="A11" s="102"/>
      <c r="B11" s="92">
        <v>8117</v>
      </c>
      <c r="C11" s="95">
        <v>0</v>
      </c>
      <c r="D11" s="4"/>
      <c r="E11" s="11"/>
      <c r="F11" s="13"/>
      <c r="G11" s="20"/>
      <c r="H11" s="23"/>
      <c r="I11" s="24"/>
      <c r="J11" s="14"/>
      <c r="K11" s="15"/>
      <c r="L11" s="20"/>
      <c r="M11" s="21"/>
      <c r="N11" s="22"/>
      <c r="O11" s="14"/>
      <c r="P11" s="26"/>
      <c r="Q11" s="21"/>
      <c r="R11" s="22"/>
      <c r="S11" s="14"/>
      <c r="T11" s="26"/>
      <c r="U11" s="21"/>
      <c r="V11" s="28"/>
      <c r="W11" s="14"/>
      <c r="X11" s="20"/>
      <c r="Y11" s="21"/>
      <c r="Z11" s="22"/>
      <c r="AA11" s="13"/>
    </row>
    <row r="12" spans="1:27" ht="12" customHeight="1">
      <c r="A12" s="105"/>
      <c r="B12" s="93"/>
      <c r="C12" s="96"/>
      <c r="D12" s="98">
        <v>17</v>
      </c>
      <c r="E12" s="100">
        <f>B11/D12</f>
        <v>477.47058823529414</v>
      </c>
      <c r="F12" s="82">
        <v>0</v>
      </c>
      <c r="G12" s="86"/>
      <c r="H12" s="78">
        <f>FLOOR(Y9+(AA9+E12+C11+F12)/24,1/48)</f>
        <v>44536.145833333328</v>
      </c>
      <c r="I12" s="80" t="str">
        <f>IF(H12="","",CHOOSE((WEEKDAY(H12,2)),"(Mon)","(Tue)","(Wed)","(Thu)","(Fri)","(Sat)","(Sun)"))</f>
        <v>(Mon)</v>
      </c>
      <c r="J12" s="82">
        <v>0</v>
      </c>
      <c r="K12" s="84">
        <v>0</v>
      </c>
      <c r="L12" s="86"/>
      <c r="M12" s="78">
        <f>FLOOR(H12+(K12+J12)/24,1/48)</f>
        <v>44536.145833333328</v>
      </c>
      <c r="N12" s="80" t="str">
        <f>IF(M12="","",CHOOSE((WEEKDAY(M12,2)),"(Mon)","(Tue)","(Wed)","(Thu)","(Fri)","(Sat)","(Sun)"))</f>
        <v>(Mon)</v>
      </c>
      <c r="O12" s="82">
        <v>0</v>
      </c>
      <c r="P12" s="76" t="str">
        <f>IF(Q12&lt;M12,"×","")</f>
        <v/>
      </c>
      <c r="Q12" s="78">
        <f>FLOOR(M12+O12/24,1/48)</f>
        <v>44536.145833333328</v>
      </c>
      <c r="R12" s="80" t="str">
        <f>IF(Q12="","",CHOOSE((WEEKDAY(Q12,2)),"(Mon)","(Tue)","(Wed)","(Thu)","(Fri)","(Sat)","(Sun)"))</f>
        <v>(Mon)</v>
      </c>
      <c r="S12" s="82">
        <v>0</v>
      </c>
      <c r="T12" s="76" t="str">
        <f>IF(U12&lt;Q12,"×","")</f>
        <v/>
      </c>
      <c r="U12" s="78">
        <f>FLOOR(Q12+(AH11+S12)/24,1/48)</f>
        <v>44536.145833333328</v>
      </c>
      <c r="V12" s="103" t="str">
        <f>IF(U12="","",CHOOSE((WEEKDAY(U12,2)),"(Mon)","(Tue)","(Wed)","(Thu)","(Fri)","(Sat)","(Sun)"))</f>
        <v>(Mon)</v>
      </c>
      <c r="W12" s="82">
        <v>0</v>
      </c>
      <c r="X12" s="86" t="str">
        <f>IF(Y12&lt;U12,"×","")</f>
        <v/>
      </c>
      <c r="Y12" s="78">
        <f>FLOOR(U12+W12/24,1/48)</f>
        <v>44536.145833333328</v>
      </c>
      <c r="Z12" s="80" t="str">
        <f>IF(Y12="","",CHOOSE((WEEKDAY(Y12,2)),"(Mon)","(Tue)","(Wed)","(Thu)","(Fri)","(Sat)","(Sun)"))</f>
        <v>(Mon)</v>
      </c>
      <c r="AA12" s="82">
        <v>0</v>
      </c>
    </row>
    <row r="13" spans="1:27" ht="12" customHeight="1">
      <c r="A13" s="106"/>
      <c r="B13" s="94"/>
      <c r="C13" s="97"/>
      <c r="D13" s="99"/>
      <c r="E13" s="101"/>
      <c r="F13" s="83"/>
      <c r="G13" s="87"/>
      <c r="H13" s="79"/>
      <c r="I13" s="81"/>
      <c r="J13" s="83"/>
      <c r="K13" s="85"/>
      <c r="L13" s="87"/>
      <c r="M13" s="79"/>
      <c r="N13" s="81"/>
      <c r="O13" s="83"/>
      <c r="P13" s="77" t="str">
        <f>IF(Q13&lt;M13,"×","")</f>
        <v/>
      </c>
      <c r="Q13" s="79"/>
      <c r="R13" s="81"/>
      <c r="S13" s="83"/>
      <c r="T13" s="77" t="e">
        <f>IF(U13&lt;#REF!,"×","")</f>
        <v>#REF!</v>
      </c>
      <c r="U13" s="79"/>
      <c r="V13" s="104"/>
      <c r="W13" s="83"/>
      <c r="X13" s="87" t="str">
        <f>IF(Y13&lt;U13,"×","")</f>
        <v/>
      </c>
      <c r="Y13" s="79"/>
      <c r="Z13" s="81"/>
      <c r="AA13" s="83"/>
    </row>
    <row r="14" spans="1:27" ht="12" customHeight="1">
      <c r="A14" s="102"/>
      <c r="B14" s="92"/>
      <c r="C14" s="95">
        <v>0</v>
      </c>
      <c r="D14" s="4"/>
      <c r="E14" s="11"/>
      <c r="F14" s="13"/>
      <c r="G14" s="20"/>
      <c r="H14" s="23"/>
      <c r="I14" s="24"/>
      <c r="J14" s="14"/>
      <c r="K14" s="15"/>
      <c r="L14" s="20"/>
      <c r="M14" s="21"/>
      <c r="N14" s="22"/>
      <c r="O14" s="14"/>
      <c r="P14" s="26"/>
      <c r="Q14" s="21"/>
      <c r="R14" s="22"/>
      <c r="S14" s="14"/>
      <c r="T14" s="26"/>
      <c r="U14" s="21"/>
      <c r="V14" s="28"/>
      <c r="W14" s="14"/>
      <c r="X14" s="20"/>
      <c r="Y14" s="21"/>
      <c r="Z14" s="22"/>
      <c r="AA14" s="13"/>
    </row>
    <row r="15" spans="1:27" ht="12" customHeight="1">
      <c r="A15" s="105"/>
      <c r="B15" s="93"/>
      <c r="C15" s="96"/>
      <c r="D15" s="98">
        <v>18</v>
      </c>
      <c r="E15" s="100">
        <f>B14/D15</f>
        <v>0</v>
      </c>
      <c r="F15" s="82">
        <v>0</v>
      </c>
      <c r="G15" s="86"/>
      <c r="H15" s="78">
        <f>FLOOR(Y12+(AA12+E15+C14+F15)/24,1/48)</f>
        <v>44536.145833333328</v>
      </c>
      <c r="I15" s="80" t="str">
        <f>IF(H15="","",CHOOSE((WEEKDAY(H15,2)),"(Mon)","(Tue)","(Wed)","(Thu)","(Fri)","(Sat)","(Sun)"))</f>
        <v>(Mon)</v>
      </c>
      <c r="J15" s="82">
        <v>0</v>
      </c>
      <c r="K15" s="84">
        <v>0</v>
      </c>
      <c r="L15" s="86" t="str">
        <f>IF(M15&lt;H15,"×","")</f>
        <v/>
      </c>
      <c r="M15" s="78">
        <f>FLOOR(H15+(K15+J15)/24,1/48)</f>
        <v>44536.145833333328</v>
      </c>
      <c r="N15" s="80" t="str">
        <f>IF(M15="","",CHOOSE((WEEKDAY(M15,2)),"(Mon)","(Tue)","(Wed)","(Thu)","(Fri)","(Sat)","(Sun)"))</f>
        <v>(Mon)</v>
      </c>
      <c r="O15" s="82">
        <v>0</v>
      </c>
      <c r="P15" s="76" t="str">
        <f>IF(Q15&lt;M15,"×","")</f>
        <v/>
      </c>
      <c r="Q15" s="78">
        <f>FLOOR(M15+O15/24,1/48)</f>
        <v>44536.145833333328</v>
      </c>
      <c r="R15" s="80" t="str">
        <f>IF(Q15="","",CHOOSE((WEEKDAY(Q15,2)),"(Mon)","(Tue)","(Wed)","(Thu)","(Fri)","(Sat)","(Sun)"))</f>
        <v>(Mon)</v>
      </c>
      <c r="S15" s="82">
        <v>0</v>
      </c>
      <c r="T15" s="76" t="str">
        <f>IF(U15&lt;Q15,"×","")</f>
        <v/>
      </c>
      <c r="U15" s="78">
        <f>FLOOR(Q15+(AH14+S15)/24,1/48)</f>
        <v>44536.145833333328</v>
      </c>
      <c r="V15" s="103" t="str">
        <f>IF(U15="","",CHOOSE((WEEKDAY(U15,2)),"(Mon)","(Tue)","(Wed)","(Thu)","(Fri)","(Sat)","(Sun)"))</f>
        <v>(Mon)</v>
      </c>
      <c r="W15" s="82">
        <v>0</v>
      </c>
      <c r="X15" s="86" t="str">
        <f>IF(Y15&lt;U15,"×","")</f>
        <v/>
      </c>
      <c r="Y15" s="78">
        <f>FLOOR(U15+W15/24,1/48)</f>
        <v>44536.145833333328</v>
      </c>
      <c r="Z15" s="80" t="str">
        <f>IF(Y15="","",CHOOSE((WEEKDAY(Y15,2)),"(Mon)","(Tue)","(Wed)","(Thu)","(Fri)","(Sat)","(Sun)"))</f>
        <v>(Mon)</v>
      </c>
      <c r="AA15" s="82">
        <v>0</v>
      </c>
    </row>
    <row r="16" spans="1:27" ht="12" customHeight="1">
      <c r="A16" s="106"/>
      <c r="B16" s="94"/>
      <c r="C16" s="97"/>
      <c r="D16" s="99"/>
      <c r="E16" s="101"/>
      <c r="F16" s="83"/>
      <c r="G16" s="87"/>
      <c r="H16" s="79"/>
      <c r="I16" s="81"/>
      <c r="J16" s="83"/>
      <c r="K16" s="85"/>
      <c r="L16" s="87"/>
      <c r="M16" s="79"/>
      <c r="N16" s="81"/>
      <c r="O16" s="83"/>
      <c r="P16" s="77" t="str">
        <f>IF(Q16&lt;M16,"×","")</f>
        <v/>
      </c>
      <c r="Q16" s="79"/>
      <c r="R16" s="81"/>
      <c r="S16" s="83"/>
      <c r="T16" s="77" t="e">
        <f>IF(U16&lt;#REF!,"×","")</f>
        <v>#REF!</v>
      </c>
      <c r="U16" s="79"/>
      <c r="V16" s="104"/>
      <c r="W16" s="83"/>
      <c r="X16" s="87" t="str">
        <f>IF(Y16&lt;U16,"×","")</f>
        <v/>
      </c>
      <c r="Y16" s="79"/>
      <c r="Z16" s="81"/>
      <c r="AA16" s="83"/>
    </row>
    <row r="17" spans="1:27" ht="12" customHeight="1">
      <c r="A17" s="102"/>
      <c r="B17" s="93"/>
      <c r="C17" s="95">
        <v>0</v>
      </c>
      <c r="D17" s="6"/>
      <c r="E17" s="10"/>
      <c r="F17" s="14"/>
      <c r="G17" s="20"/>
      <c r="H17" s="21"/>
      <c r="I17" s="22"/>
      <c r="J17" s="14"/>
      <c r="K17" s="15"/>
      <c r="L17" s="20"/>
      <c r="M17" s="21"/>
      <c r="N17" s="22"/>
      <c r="O17" s="14"/>
      <c r="P17" s="26"/>
      <c r="Q17" s="21"/>
      <c r="R17" s="22"/>
      <c r="S17" s="14"/>
      <c r="T17" s="26"/>
      <c r="U17" s="21"/>
      <c r="V17" s="28"/>
      <c r="W17" s="14"/>
      <c r="X17" s="20"/>
      <c r="Y17" s="21"/>
      <c r="Z17" s="22"/>
      <c r="AA17" s="13"/>
    </row>
    <row r="18" spans="1:27" ht="12" customHeight="1">
      <c r="A18" s="90"/>
      <c r="B18" s="93"/>
      <c r="C18" s="96"/>
      <c r="D18" s="98">
        <v>15.8</v>
      </c>
      <c r="E18" s="100">
        <f>B17/D18</f>
        <v>0</v>
      </c>
      <c r="F18" s="82">
        <v>0</v>
      </c>
      <c r="G18" s="86"/>
      <c r="H18" s="78">
        <f>FLOOR(Y15+(AA15+E18+C17+F18)/24,1/48)</f>
        <v>44536.145833333328</v>
      </c>
      <c r="I18" s="80" t="str">
        <f>IF(H18="","",CHOOSE((WEEKDAY(H18,2)),"(Mon)","(Tue)","(Wed)","(Thu)","(Fri)","(Sat)","(Sun)"))</f>
        <v>(Mon)</v>
      </c>
      <c r="J18" s="82">
        <v>0</v>
      </c>
      <c r="K18" s="84">
        <v>0</v>
      </c>
      <c r="L18" s="86" t="str">
        <f>IF(M18&lt;H18,"×","")</f>
        <v/>
      </c>
      <c r="M18" s="78">
        <f>FLOOR(H18+(K18+J18)/24,1/48)</f>
        <v>44536.145833333328</v>
      </c>
      <c r="N18" s="80" t="str">
        <f>IF(M18="","",CHOOSE((WEEKDAY(M18,2)),"(Mon)","(Tue)","(Wed)","(Thu)","(Fri)","(Sat)","(Sun)"))</f>
        <v>(Mon)</v>
      </c>
      <c r="O18" s="82">
        <v>0</v>
      </c>
      <c r="P18" s="76" t="str">
        <f>IF(Q18&lt;M18,"×","")</f>
        <v/>
      </c>
      <c r="Q18" s="78">
        <f>FLOOR(M18+O18/24,1/48)</f>
        <v>44536.145833333328</v>
      </c>
      <c r="R18" s="80" t="str">
        <f>IF(Q18="","",CHOOSE((WEEKDAY(Q18,2)),"(Mon)","(Tue)","(Wed)","(Thu)","(Fri)","(Sat)","(Sun)"))</f>
        <v>(Mon)</v>
      </c>
      <c r="S18" s="82">
        <v>0</v>
      </c>
      <c r="T18" s="76" t="str">
        <f>IF(U18&lt;Q18,"×","")</f>
        <v/>
      </c>
      <c r="U18" s="78">
        <f>FLOOR(Q18+(AH17+S18)/24,1/48)</f>
        <v>44536.145833333328</v>
      </c>
      <c r="V18" s="103" t="str">
        <f>IF(U18="","",CHOOSE((WEEKDAY(U18,2)),"(Mon)","(Tue)","(Wed)","(Thu)","(Fri)","(Sat)","(Sun)"))</f>
        <v>(Mon)</v>
      </c>
      <c r="W18" s="82">
        <v>0</v>
      </c>
      <c r="X18" s="86" t="str">
        <f>IF(Y18&lt;U18,"×","")</f>
        <v/>
      </c>
      <c r="Y18" s="78">
        <f>FLOOR(U18+W18/24,1/48)</f>
        <v>44536.145833333328</v>
      </c>
      <c r="Z18" s="80" t="str">
        <f>IF(Y18="","",CHOOSE((WEEKDAY(Y18,2)),"(Mon)","(Tue)","(Wed)","(Thu)","(Fri)","(Sat)","(Sun)"))</f>
        <v>(Mon)</v>
      </c>
      <c r="AA18" s="82">
        <v>4</v>
      </c>
    </row>
    <row r="19" spans="1:27" ht="12" customHeight="1">
      <c r="A19" s="91"/>
      <c r="B19" s="94"/>
      <c r="C19" s="97"/>
      <c r="D19" s="99"/>
      <c r="E19" s="101"/>
      <c r="F19" s="83"/>
      <c r="G19" s="87"/>
      <c r="H19" s="79"/>
      <c r="I19" s="81"/>
      <c r="J19" s="83"/>
      <c r="K19" s="85"/>
      <c r="L19" s="87"/>
      <c r="M19" s="79"/>
      <c r="N19" s="81"/>
      <c r="O19" s="83"/>
      <c r="P19" s="77" t="str">
        <f>IF(Q19&lt;M19,"×","")</f>
        <v/>
      </c>
      <c r="Q19" s="79"/>
      <c r="R19" s="81"/>
      <c r="S19" s="83"/>
      <c r="T19" s="77" t="e">
        <f>IF(U19&lt;#REF!,"×","")</f>
        <v>#REF!</v>
      </c>
      <c r="U19" s="79"/>
      <c r="V19" s="104"/>
      <c r="W19" s="83"/>
      <c r="X19" s="87" t="str">
        <f>IF(Y19&lt;U19,"×","")</f>
        <v/>
      </c>
      <c r="Y19" s="79"/>
      <c r="Z19" s="80"/>
      <c r="AA19" s="83"/>
    </row>
    <row r="20" spans="1:27" ht="12" customHeight="1">
      <c r="A20" s="102"/>
      <c r="B20" s="93"/>
      <c r="C20" s="95">
        <v>0</v>
      </c>
      <c r="D20" s="6"/>
      <c r="E20" s="11"/>
      <c r="F20" s="13"/>
      <c r="G20" s="20"/>
      <c r="H20" s="23"/>
      <c r="I20" s="24"/>
      <c r="J20" s="13"/>
      <c r="K20" s="16"/>
      <c r="L20" s="25"/>
      <c r="M20" s="23"/>
      <c r="N20" s="24"/>
      <c r="O20" s="13"/>
      <c r="P20" s="27"/>
      <c r="Q20" s="23"/>
      <c r="R20" s="24"/>
      <c r="S20" s="13"/>
      <c r="T20" s="27"/>
      <c r="U20" s="21"/>
      <c r="V20" s="28"/>
      <c r="W20" s="14"/>
      <c r="X20" s="20"/>
      <c r="Y20" s="21"/>
      <c r="Z20" s="29"/>
      <c r="AA20" s="13"/>
    </row>
    <row r="21" spans="1:27" ht="12" customHeight="1">
      <c r="A21" s="90"/>
      <c r="B21" s="93"/>
      <c r="C21" s="96"/>
      <c r="D21" s="98">
        <v>18</v>
      </c>
      <c r="E21" s="100">
        <f>B20/D21</f>
        <v>0</v>
      </c>
      <c r="F21" s="82">
        <v>0</v>
      </c>
      <c r="G21" s="86"/>
      <c r="H21" s="78">
        <f>FLOOR(Y18+(AA18+E21+C20+F21)/24,1/48)</f>
        <v>44536.3125</v>
      </c>
      <c r="I21" s="80" t="str">
        <f>IF(H21="","",CHOOSE((WEEKDAY(H21,2)),"(Mon)","(Tue)","(Wed)","(Thu)","(Fri)","(Sat)","(Sun)"))</f>
        <v>(Mon)</v>
      </c>
      <c r="J21" s="82">
        <v>0</v>
      </c>
      <c r="K21" s="84">
        <v>0</v>
      </c>
      <c r="L21" s="86" t="str">
        <f>IF(M21&lt;H21,"×","")</f>
        <v/>
      </c>
      <c r="M21" s="78">
        <f>FLOOR(H21+(K21+J21)/24,1/48)</f>
        <v>44536.3125</v>
      </c>
      <c r="N21" s="80" t="str">
        <f>IF(M21="","",CHOOSE((WEEKDAY(M21,2)),"(Mon)","(Tue)","(Wed)","(Thu)","(Fri)","(Sat)","(Sun)"))</f>
        <v>(Mon)</v>
      </c>
      <c r="O21" s="82">
        <v>0</v>
      </c>
      <c r="P21" s="76" t="str">
        <f>IF(Q21&lt;M21,"×","")</f>
        <v/>
      </c>
      <c r="Q21" s="78">
        <f>FLOOR(M21+O21/24,1/48)</f>
        <v>44536.3125</v>
      </c>
      <c r="R21" s="80" t="str">
        <f>IF(Q21="","",CHOOSE((WEEKDAY(Q21,2)),"(Mon)","(Tue)","(Wed)","(Thu)","(Fri)","(Sat)","(Sun)"))</f>
        <v>(Mon)</v>
      </c>
      <c r="S21" s="82">
        <v>0</v>
      </c>
      <c r="T21" s="76" t="str">
        <f>IF(U21&lt;Q21,"×","")</f>
        <v/>
      </c>
      <c r="U21" s="78">
        <f>FLOOR(Q21+(AH20+S21)/24,1/48)</f>
        <v>44536.3125</v>
      </c>
      <c r="V21" s="103" t="str">
        <f>IF(U21="","",CHOOSE((WEEKDAY(U21,2)),"(Mon)","(Tue)","(Wed)","(Thu)","(Fri)","(Sat)","(Sun)"))</f>
        <v>(Mon)</v>
      </c>
      <c r="W21" s="82">
        <v>0</v>
      </c>
      <c r="X21" s="86" t="str">
        <f>IF(Y21&lt;U21,"×","")</f>
        <v/>
      </c>
      <c r="Y21" s="78">
        <f>FLOOR(U21+W21/24,1/48)</f>
        <v>44536.3125</v>
      </c>
      <c r="Z21" s="103" t="str">
        <f>IF(Y21="","",CHOOSE((WEEKDAY(Y21,2)),"(Mon)","(Tue)","(Wed)","(Thu)","(Fri)","(Sat)","(Sun)"))</f>
        <v>(Mon)</v>
      </c>
      <c r="AA21" s="82">
        <v>0</v>
      </c>
    </row>
    <row r="22" spans="1:27" ht="12" customHeight="1">
      <c r="A22" s="91"/>
      <c r="B22" s="94"/>
      <c r="C22" s="97"/>
      <c r="D22" s="99"/>
      <c r="E22" s="101"/>
      <c r="F22" s="83"/>
      <c r="G22" s="87"/>
      <c r="H22" s="79"/>
      <c r="I22" s="81"/>
      <c r="J22" s="83"/>
      <c r="K22" s="85"/>
      <c r="L22" s="87"/>
      <c r="M22" s="79"/>
      <c r="N22" s="81"/>
      <c r="O22" s="83"/>
      <c r="P22" s="77" t="str">
        <f>IF(Q22&lt;M22,"×","")</f>
        <v/>
      </c>
      <c r="Q22" s="79"/>
      <c r="R22" s="81"/>
      <c r="S22" s="83"/>
      <c r="T22" s="77" t="e">
        <f>IF(U22&lt;#REF!,"×","")</f>
        <v>#REF!</v>
      </c>
      <c r="U22" s="79"/>
      <c r="V22" s="104"/>
      <c r="W22" s="83"/>
      <c r="X22" s="87" t="str">
        <f>IF(Y22&lt;U22,"×","")</f>
        <v/>
      </c>
      <c r="Y22" s="79"/>
      <c r="Z22" s="104"/>
      <c r="AA22" s="83"/>
    </row>
    <row r="23" spans="1:27" ht="12" customHeight="1">
      <c r="A23" s="102"/>
      <c r="B23" s="92"/>
      <c r="C23" s="95">
        <v>0</v>
      </c>
      <c r="D23" s="6"/>
      <c r="E23" s="11"/>
      <c r="F23" s="13"/>
      <c r="G23" s="20"/>
      <c r="H23" s="23"/>
      <c r="I23" s="24"/>
      <c r="J23" s="13"/>
      <c r="K23" s="16"/>
      <c r="L23" s="25"/>
      <c r="M23" s="23"/>
      <c r="N23" s="24"/>
      <c r="O23" s="13"/>
      <c r="P23" s="27"/>
      <c r="Q23" s="23"/>
      <c r="R23" s="24"/>
      <c r="S23" s="13"/>
      <c r="T23" s="27"/>
      <c r="U23" s="21"/>
      <c r="V23" s="28"/>
      <c r="W23" s="14"/>
      <c r="X23" s="20"/>
      <c r="Y23" s="21"/>
      <c r="Z23" s="22"/>
      <c r="AA23" s="13"/>
    </row>
    <row r="24" spans="1:27" ht="12" customHeight="1">
      <c r="A24" s="90"/>
      <c r="B24" s="93"/>
      <c r="C24" s="96"/>
      <c r="D24" s="98">
        <v>16.5</v>
      </c>
      <c r="E24" s="100">
        <f>B23/D24</f>
        <v>0</v>
      </c>
      <c r="F24" s="82">
        <v>0.5</v>
      </c>
      <c r="G24" s="86"/>
      <c r="H24" s="78">
        <f>FLOOR(Y21+(AA21+E24+C23+F24)/24,1/48)</f>
        <v>44536.333333333328</v>
      </c>
      <c r="I24" s="80" t="str">
        <f>IF(H24="","",CHOOSE((WEEKDAY(H24,2)),"(Mon)","(Tue)","(Wed)","(Thu)","(Fri)","(Sat)","(Sun)"))</f>
        <v>(Mon)</v>
      </c>
      <c r="J24" s="82">
        <v>0</v>
      </c>
      <c r="K24" s="84">
        <v>0</v>
      </c>
      <c r="L24" s="86" t="str">
        <f>IF(M24&lt;H24,"×","")</f>
        <v/>
      </c>
      <c r="M24" s="78">
        <f>FLOOR(H24+(K24+J24)/24,1/48)</f>
        <v>44536.333333333328</v>
      </c>
      <c r="N24" s="80" t="str">
        <f>IF(M24="","",CHOOSE((WEEKDAY(M24,2)),"(Mon)","(Tue)","(Wed)","(Thu)","(Fri)","(Sat)","(Sun)"))</f>
        <v>(Mon)</v>
      </c>
      <c r="O24" s="82">
        <v>0</v>
      </c>
      <c r="P24" s="76" t="str">
        <f>IF(Q24&lt;M24,"×","")</f>
        <v/>
      </c>
      <c r="Q24" s="78">
        <f>FLOOR(M24+O24/24,1/48)</f>
        <v>44536.333333333328</v>
      </c>
      <c r="R24" s="80" t="str">
        <f>IF(Q24="","",CHOOSE((WEEKDAY(Q24,2)),"(Mon)","(Tue)","(Wed)","(Thu)","(Fri)","(Sat)","(Sun)"))</f>
        <v>(Mon)</v>
      </c>
      <c r="S24" s="82">
        <v>0</v>
      </c>
      <c r="T24" s="76" t="str">
        <f>IF(U24&lt;Q24,"×","")</f>
        <v/>
      </c>
      <c r="U24" s="78">
        <f>FLOOR(Q24+(AH23+S24)/24,1/48)</f>
        <v>44536.333333333328</v>
      </c>
      <c r="V24" s="103" t="str">
        <f>IF(U24="","",CHOOSE((WEEKDAY(U24,2)),"(Mon)","(Tue)","(Wed)","(Thu)","(Fri)","(Sat)","(Sun)"))</f>
        <v>(Mon)</v>
      </c>
      <c r="W24" s="82">
        <v>0</v>
      </c>
      <c r="X24" s="86" t="str">
        <f>IF(Y24&lt;U24,"×","")</f>
        <v/>
      </c>
      <c r="Y24" s="78">
        <f>FLOOR(U24+W24/24,1/48)</f>
        <v>44536.333333333328</v>
      </c>
      <c r="Z24" s="80" t="str">
        <f>IF(Y24="","",CHOOSE((WEEKDAY(Y24,2)),"(Mon)","(Tue)","(Wed)","(Thu)","(Fri)","(Sat)","(Sun)"))</f>
        <v>(Mon)</v>
      </c>
      <c r="AA24" s="82">
        <v>0</v>
      </c>
    </row>
    <row r="25" spans="1:27" ht="12" customHeight="1">
      <c r="A25" s="91"/>
      <c r="B25" s="94"/>
      <c r="C25" s="97"/>
      <c r="D25" s="99"/>
      <c r="E25" s="101"/>
      <c r="F25" s="83"/>
      <c r="G25" s="87"/>
      <c r="H25" s="79"/>
      <c r="I25" s="81"/>
      <c r="J25" s="83"/>
      <c r="K25" s="85"/>
      <c r="L25" s="87"/>
      <c r="M25" s="79"/>
      <c r="N25" s="81"/>
      <c r="O25" s="83"/>
      <c r="P25" s="77" t="str">
        <f>IF(Q25&lt;M25,"×","")</f>
        <v/>
      </c>
      <c r="Q25" s="79"/>
      <c r="R25" s="81"/>
      <c r="S25" s="83"/>
      <c r="T25" s="77" t="e">
        <f>IF(U25&lt;#REF!,"×","")</f>
        <v>#REF!</v>
      </c>
      <c r="U25" s="79"/>
      <c r="V25" s="104"/>
      <c r="W25" s="83"/>
      <c r="X25" s="87" t="str">
        <f>IF(Y25&lt;U25,"×","")</f>
        <v/>
      </c>
      <c r="Y25" s="79"/>
      <c r="Z25" s="80"/>
      <c r="AA25" s="83"/>
    </row>
    <row r="26" spans="1:27" ht="12" customHeight="1">
      <c r="A26" s="102"/>
      <c r="B26" s="92"/>
      <c r="C26" s="95">
        <v>0</v>
      </c>
      <c r="D26" s="6"/>
      <c r="E26" s="11"/>
      <c r="F26" s="13"/>
      <c r="G26" s="20"/>
      <c r="H26" s="23"/>
      <c r="I26" s="24"/>
      <c r="J26" s="13"/>
      <c r="K26" s="15"/>
      <c r="L26" s="20"/>
      <c r="M26" s="21"/>
      <c r="N26" s="22"/>
      <c r="O26" s="14"/>
      <c r="P26" s="26"/>
      <c r="Q26" s="21"/>
      <c r="R26" s="22"/>
      <c r="S26" s="14"/>
      <c r="T26" s="26"/>
      <c r="U26" s="21"/>
      <c r="V26" s="22"/>
      <c r="W26" s="13"/>
      <c r="X26" s="20"/>
      <c r="Y26" s="21"/>
      <c r="Z26" s="24"/>
      <c r="AA26" s="13"/>
    </row>
    <row r="27" spans="1:27" ht="12" customHeight="1">
      <c r="A27" s="90"/>
      <c r="B27" s="93"/>
      <c r="C27" s="96"/>
      <c r="D27" s="98">
        <v>18</v>
      </c>
      <c r="E27" s="100">
        <f>B26/D27</f>
        <v>0</v>
      </c>
      <c r="F27" s="82">
        <v>0</v>
      </c>
      <c r="G27" s="86"/>
      <c r="H27" s="78">
        <f>FLOOR(Y24+(AA24+E27+C26+F27)/24,1/48)</f>
        <v>44536.333333333328</v>
      </c>
      <c r="I27" s="80" t="str">
        <f>IF(H27="","",CHOOSE((WEEKDAY(H27,2)),"(Mon)","(Tue)","(Wed)","(Thu)","(Fri)","(Sat)","(Sun)"))</f>
        <v>(Mon)</v>
      </c>
      <c r="J27" s="82">
        <v>0</v>
      </c>
      <c r="K27" s="84">
        <v>0</v>
      </c>
      <c r="L27" s="86" t="str">
        <f>IF(M27&lt;H27,"×","")</f>
        <v/>
      </c>
      <c r="M27" s="78">
        <f>FLOOR(H27+(K27+J27)/24,1/48)</f>
        <v>44536.333333333328</v>
      </c>
      <c r="N27" s="80" t="str">
        <f>IF(M27="","",CHOOSE((WEEKDAY(M27,2)),"(Mon)","(Tue)","(Wed)","(Thu)","(Fri)","(Sat)","(Sun)"))</f>
        <v>(Mon)</v>
      </c>
      <c r="O27" s="82">
        <v>0</v>
      </c>
      <c r="P27" s="76" t="str">
        <f>IF(Q27&lt;M27,"×","")</f>
        <v/>
      </c>
      <c r="Q27" s="78">
        <f>FLOOR(M27+O27/24,1/48)</f>
        <v>44536.333333333328</v>
      </c>
      <c r="R27" s="80" t="str">
        <f>IF(Q27="","",CHOOSE((WEEKDAY(Q27,2)),"(Mon)","(Tue)","(Wed)","(Thu)","(Fri)","(Sat)","(Sun)"))</f>
        <v>(Mon)</v>
      </c>
      <c r="S27" s="82">
        <v>0</v>
      </c>
      <c r="T27" s="76" t="str">
        <f>IF(U27&lt;Q27,"×","")</f>
        <v/>
      </c>
      <c r="U27" s="78">
        <f>FLOOR(Q27+(AH26+S27)/24,1/48)</f>
        <v>44536.333333333328</v>
      </c>
      <c r="V27" s="80" t="str">
        <f>IF(U27="","",CHOOSE((WEEKDAY(U27,2)),"(Mon)","(Tue)","(Wed)","(Thu)","(Fri)","(Sat)","(Sun)"))</f>
        <v>(Mon)</v>
      </c>
      <c r="W27" s="82">
        <v>0</v>
      </c>
      <c r="X27" s="86" t="str">
        <f>IF(Y27&lt;U27,"×","")</f>
        <v/>
      </c>
      <c r="Y27" s="78">
        <f>FLOOR(U27+W27/24,1/48)</f>
        <v>44536.333333333328</v>
      </c>
      <c r="Z27" s="80" t="str">
        <f>IF(Y27="","",CHOOSE((WEEKDAY(Y27,2)),"(Mon)","(Tue)","(Wed)","(Thu)","(Fri)","(Sat)","(Sun)"))</f>
        <v>(Mon)</v>
      </c>
      <c r="AA27" s="82">
        <v>0</v>
      </c>
    </row>
    <row r="28" spans="1:27" ht="12" customHeight="1">
      <c r="A28" s="91"/>
      <c r="B28" s="94"/>
      <c r="C28" s="97"/>
      <c r="D28" s="99"/>
      <c r="E28" s="101"/>
      <c r="F28" s="83"/>
      <c r="G28" s="87"/>
      <c r="H28" s="79"/>
      <c r="I28" s="81"/>
      <c r="J28" s="83"/>
      <c r="K28" s="85"/>
      <c r="L28" s="87"/>
      <c r="M28" s="79"/>
      <c r="N28" s="81"/>
      <c r="O28" s="83"/>
      <c r="P28" s="77" t="str">
        <f>IF(Q28&lt;M28,"×","")</f>
        <v/>
      </c>
      <c r="Q28" s="79"/>
      <c r="R28" s="81"/>
      <c r="S28" s="83"/>
      <c r="T28" s="77" t="e">
        <f>IF(U28&lt;#REF!,"×","")</f>
        <v>#REF!</v>
      </c>
      <c r="U28" s="79"/>
      <c r="V28" s="81"/>
      <c r="W28" s="83"/>
      <c r="X28" s="87" t="str">
        <f>IF(Y28&lt;U28,"×","")</f>
        <v/>
      </c>
      <c r="Y28" s="79"/>
      <c r="Z28" s="81"/>
      <c r="AA28" s="83"/>
    </row>
    <row r="29" spans="1:27" ht="12" customHeight="1">
      <c r="A29" s="102"/>
      <c r="B29" s="92"/>
      <c r="C29" s="95">
        <v>0</v>
      </c>
      <c r="D29" s="6"/>
      <c r="E29" s="11"/>
      <c r="F29" s="13"/>
      <c r="G29" s="20"/>
      <c r="H29" s="23"/>
      <c r="I29" s="24"/>
      <c r="J29" s="13"/>
      <c r="K29" s="15">
        <v>0</v>
      </c>
      <c r="L29" s="20"/>
      <c r="M29" s="21"/>
      <c r="N29" s="22"/>
      <c r="O29" s="14"/>
      <c r="P29" s="26"/>
      <c r="Q29" s="21"/>
      <c r="R29" s="22"/>
      <c r="S29" s="14"/>
      <c r="T29" s="26"/>
      <c r="U29" s="21"/>
      <c r="V29" s="22"/>
      <c r="W29" s="14"/>
      <c r="X29" s="20"/>
      <c r="Y29" s="21"/>
      <c r="Z29" s="24"/>
      <c r="AA29" s="13"/>
    </row>
    <row r="30" spans="1:27" ht="12" customHeight="1">
      <c r="A30" s="90"/>
      <c r="B30" s="93"/>
      <c r="C30" s="96"/>
      <c r="D30" s="98">
        <v>18</v>
      </c>
      <c r="E30" s="100">
        <f>B29/D30</f>
        <v>0</v>
      </c>
      <c r="F30" s="82">
        <v>0</v>
      </c>
      <c r="G30" s="86" t="str">
        <f t="shared" ref="G30:G37" si="0">IF(H30&lt;Y27,"×","")</f>
        <v/>
      </c>
      <c r="H30" s="78">
        <f>FLOOR(Y27+(AA27+E30+C29+F30)/24,1/48)</f>
        <v>44536.333333333328</v>
      </c>
      <c r="I30" s="80" t="str">
        <f>IF(H30="","",CHOOSE((WEEKDAY(H30,2)),"(Mon)","(Tue)","(Wed)","(Thu)","(Fri)","(Sat)","(Sun)"))</f>
        <v>(Mon)</v>
      </c>
      <c r="J30" s="82">
        <v>0</v>
      </c>
      <c r="K30" s="84">
        <v>0</v>
      </c>
      <c r="L30" s="86" t="str">
        <f>IF(M30&lt;H30,"×","")</f>
        <v/>
      </c>
      <c r="M30" s="78">
        <f>FLOOR(H30+(K30+J30)/24,1/48)</f>
        <v>44536.333333333328</v>
      </c>
      <c r="N30" s="80" t="str">
        <f>IF(M30="","",CHOOSE((WEEKDAY(M30,2)),"(Mon)","(Tue)","(Wed)","(Thu)","(Fri)","(Sat)","(Sun)"))</f>
        <v>(Mon)</v>
      </c>
      <c r="O30" s="82">
        <v>0</v>
      </c>
      <c r="P30" s="76" t="str">
        <f>IF(Q30&lt;M30,"×","")</f>
        <v/>
      </c>
      <c r="Q30" s="78">
        <f>FLOOR(M30+O30/24,1/48)</f>
        <v>44536.333333333328</v>
      </c>
      <c r="R30" s="80" t="str">
        <f>IF(Q30="","",CHOOSE((WEEKDAY(Q30,2)),"(Mon)","(Tue)","(Wed)","(Thu)","(Fri)","(Sat)","(Sun)"))</f>
        <v>(Mon)</v>
      </c>
      <c r="S30" s="82">
        <v>0</v>
      </c>
      <c r="T30" s="76" t="str">
        <f>IF(U30&lt;Q30,"×","")</f>
        <v/>
      </c>
      <c r="U30" s="78">
        <f>FLOOR(Q30+(AH29+S30)/24,1/48)</f>
        <v>44536.333333333328</v>
      </c>
      <c r="V30" s="80" t="str">
        <f>IF(U30="","",CHOOSE((WEEKDAY(U30,2)),"(Mon)","(Tue)","(Wed)","(Thu)","(Fri)","(Sat)","(Sun)"))</f>
        <v>(Mon)</v>
      </c>
      <c r="W30" s="82">
        <v>0</v>
      </c>
      <c r="X30" s="86" t="str">
        <f>IF(Y30&lt;U30,"×","")</f>
        <v/>
      </c>
      <c r="Y30" s="78">
        <f>FLOOR(U30+W30/24,1/48)</f>
        <v>44536.333333333328</v>
      </c>
      <c r="Z30" s="80" t="str">
        <f>IF(Y30="","",CHOOSE((WEEKDAY(Y30,2)),"(Mon)","(Tue)","(Wed)","(Thu)","(Fri)","(Sat)","(Sun)"))</f>
        <v>(Mon)</v>
      </c>
      <c r="AA30" s="82">
        <v>0</v>
      </c>
    </row>
    <row r="31" spans="1:27" ht="12" customHeight="1">
      <c r="A31" s="91"/>
      <c r="B31" s="94"/>
      <c r="C31" s="97"/>
      <c r="D31" s="99"/>
      <c r="E31" s="101"/>
      <c r="F31" s="83"/>
      <c r="G31" s="87" t="str">
        <f t="shared" si="0"/>
        <v/>
      </c>
      <c r="H31" s="79"/>
      <c r="I31" s="81"/>
      <c r="J31" s="83"/>
      <c r="K31" s="85"/>
      <c r="L31" s="87"/>
      <c r="M31" s="79"/>
      <c r="N31" s="81"/>
      <c r="O31" s="83"/>
      <c r="P31" s="77" t="str">
        <f>IF(Q31&lt;M31,"×","")</f>
        <v/>
      </c>
      <c r="Q31" s="79"/>
      <c r="R31" s="81"/>
      <c r="S31" s="83"/>
      <c r="T31" s="77" t="e">
        <f>IF(U31&lt;#REF!,"×","")</f>
        <v>#REF!</v>
      </c>
      <c r="U31" s="79"/>
      <c r="V31" s="81"/>
      <c r="W31" s="83"/>
      <c r="X31" s="87" t="str">
        <f>IF(Y31&lt;U31,"×","")</f>
        <v/>
      </c>
      <c r="Y31" s="79"/>
      <c r="Z31" s="81"/>
      <c r="AA31" s="83"/>
    </row>
    <row r="32" spans="1:27" ht="12" customHeight="1">
      <c r="A32" s="102"/>
      <c r="B32" s="92"/>
      <c r="C32" s="95">
        <v>0</v>
      </c>
      <c r="D32" s="6"/>
      <c r="E32" s="11"/>
      <c r="F32" s="13"/>
      <c r="G32" s="20"/>
      <c r="H32" s="23"/>
      <c r="I32" s="24"/>
      <c r="J32" s="13"/>
      <c r="K32" s="15"/>
      <c r="L32" s="20"/>
      <c r="M32" s="21"/>
      <c r="N32" s="22"/>
      <c r="O32" s="14"/>
      <c r="P32" s="26"/>
      <c r="Q32" s="21"/>
      <c r="R32" s="22"/>
      <c r="S32" s="14"/>
      <c r="T32" s="26"/>
      <c r="U32" s="21"/>
      <c r="V32" s="22"/>
      <c r="W32" s="14"/>
      <c r="X32" s="20"/>
      <c r="Y32" s="21"/>
      <c r="Z32" s="24"/>
      <c r="AA32" s="13"/>
    </row>
    <row r="33" spans="1:27" ht="12" customHeight="1">
      <c r="A33" s="90"/>
      <c r="B33" s="93"/>
      <c r="C33" s="96"/>
      <c r="D33" s="98">
        <v>18</v>
      </c>
      <c r="E33" s="100">
        <f>B32/D33</f>
        <v>0</v>
      </c>
      <c r="F33" s="82">
        <v>0</v>
      </c>
      <c r="G33" s="86" t="str">
        <f t="shared" si="0"/>
        <v/>
      </c>
      <c r="H33" s="78">
        <f>FLOOR(Y30+(AA30+E33+C32+F33)/24,1/48)</f>
        <v>44536.333333333328</v>
      </c>
      <c r="I33" s="80" t="str">
        <f>IF(H33="","",CHOOSE((WEEKDAY(H33,2)),"(Mon)","(Tue)","(Wed)","(Thu)","(Fri)","(Sat)","(Sun)"))</f>
        <v>(Mon)</v>
      </c>
      <c r="J33" s="82">
        <v>0</v>
      </c>
      <c r="K33" s="84">
        <v>0</v>
      </c>
      <c r="L33" s="86" t="str">
        <f>IF(M33&lt;H33,"×","")</f>
        <v/>
      </c>
      <c r="M33" s="78">
        <f>FLOOR(H33+(K33+J33)/24,1/48)</f>
        <v>44536.333333333328</v>
      </c>
      <c r="N33" s="80" t="str">
        <f>IF(M33="","",CHOOSE((WEEKDAY(M33,2)),"(Mon)","(Tue)","(Wed)","(Thu)","(Fri)","(Sat)","(Sun)"))</f>
        <v>(Mon)</v>
      </c>
      <c r="O33" s="82">
        <v>0</v>
      </c>
      <c r="P33" s="76" t="str">
        <f>IF(Q33&lt;M33,"×","")</f>
        <v/>
      </c>
      <c r="Q33" s="78">
        <f>FLOOR(M33+O33/24,1/48)</f>
        <v>44536.333333333328</v>
      </c>
      <c r="R33" s="80" t="str">
        <f>IF(Q33="","",CHOOSE((WEEKDAY(Q33,2)),"(Mon)","(Tue)","(Wed)","(Thu)","(Fri)","(Sat)","(Sun)"))</f>
        <v>(Mon)</v>
      </c>
      <c r="S33" s="82">
        <v>0</v>
      </c>
      <c r="T33" s="76" t="str">
        <f>IF(U33&lt;Q33,"×","")</f>
        <v/>
      </c>
      <c r="U33" s="78">
        <f>FLOOR(Q33+(AH32+S33)/24,1/48)</f>
        <v>44536.333333333328</v>
      </c>
      <c r="V33" s="80" t="str">
        <f>IF(U33="","",CHOOSE((WEEKDAY(U33,2)),"(Mon)","(Tue)","(Wed)","(Thu)","(Fri)","(Sat)","(Sun)"))</f>
        <v>(Mon)</v>
      </c>
      <c r="W33" s="82">
        <v>0</v>
      </c>
      <c r="X33" s="86" t="str">
        <f>IF(Y33&lt;U33,"×","")</f>
        <v/>
      </c>
      <c r="Y33" s="78">
        <f>FLOOR(U33+W33/24,1/48)</f>
        <v>44536.333333333328</v>
      </c>
      <c r="Z33" s="80" t="str">
        <f>IF(Y33="","",CHOOSE((WEEKDAY(Y33,2)),"(Mon)","(Tue)","(Wed)","(Thu)","(Fri)","(Sat)","(Sun)"))</f>
        <v>(Mon)</v>
      </c>
      <c r="AA33" s="82">
        <v>0</v>
      </c>
    </row>
    <row r="34" spans="1:27" ht="12" customHeight="1">
      <c r="A34" s="91"/>
      <c r="B34" s="94"/>
      <c r="C34" s="97"/>
      <c r="D34" s="99"/>
      <c r="E34" s="101"/>
      <c r="F34" s="83"/>
      <c r="G34" s="87" t="str">
        <f t="shared" si="0"/>
        <v/>
      </c>
      <c r="H34" s="79"/>
      <c r="I34" s="81"/>
      <c r="J34" s="83"/>
      <c r="K34" s="85"/>
      <c r="L34" s="87"/>
      <c r="M34" s="79"/>
      <c r="N34" s="81"/>
      <c r="O34" s="83"/>
      <c r="P34" s="77" t="str">
        <f>IF(Q34&lt;M34,"×","")</f>
        <v/>
      </c>
      <c r="Q34" s="79"/>
      <c r="R34" s="81"/>
      <c r="S34" s="83"/>
      <c r="T34" s="77" t="e">
        <f>IF(U34&lt;#REF!,"×","")</f>
        <v>#REF!</v>
      </c>
      <c r="U34" s="79"/>
      <c r="V34" s="81"/>
      <c r="W34" s="83"/>
      <c r="X34" s="87" t="str">
        <f>IF(Y34&lt;U34,"×","")</f>
        <v/>
      </c>
      <c r="Y34" s="79"/>
      <c r="Z34" s="81"/>
      <c r="AA34" s="83"/>
    </row>
    <row r="35" spans="1:27" ht="12" customHeight="1">
      <c r="A35" s="102"/>
      <c r="B35" s="92"/>
      <c r="C35" s="95">
        <v>0</v>
      </c>
      <c r="D35" s="6"/>
      <c r="E35" s="11"/>
      <c r="F35" s="13"/>
      <c r="G35" s="20"/>
      <c r="H35" s="23"/>
      <c r="I35" s="24"/>
      <c r="J35" s="13"/>
      <c r="K35" s="15"/>
      <c r="L35" s="20"/>
      <c r="M35" s="21"/>
      <c r="N35" s="22"/>
      <c r="O35" s="14"/>
      <c r="P35" s="26"/>
      <c r="Q35" s="21"/>
      <c r="R35" s="22"/>
      <c r="S35" s="14"/>
      <c r="T35" s="26"/>
      <c r="U35" s="21"/>
      <c r="V35" s="22"/>
      <c r="W35" s="14"/>
      <c r="X35" s="20"/>
      <c r="Y35" s="21"/>
      <c r="Z35" s="24"/>
      <c r="AA35" s="14"/>
    </row>
    <row r="36" spans="1:27" ht="12" customHeight="1">
      <c r="A36" s="90"/>
      <c r="B36" s="93"/>
      <c r="C36" s="96"/>
      <c r="D36" s="98">
        <v>15.8</v>
      </c>
      <c r="E36" s="100">
        <f>B35/D36</f>
        <v>0</v>
      </c>
      <c r="F36" s="82">
        <v>0</v>
      </c>
      <c r="G36" s="86" t="str">
        <f t="shared" si="0"/>
        <v/>
      </c>
      <c r="H36" s="78">
        <f>FLOOR(Y33+(AA33+E36+C35+F36)/24,1/48)</f>
        <v>44536.333333333328</v>
      </c>
      <c r="I36" s="80" t="str">
        <f>IF(H36="","",CHOOSE((WEEKDAY(H36,2)),"(Mon)","(Tue)","(Wed)","(Thu)","(Fri)","(Sat)","(Sun)"))</f>
        <v>(Mon)</v>
      </c>
      <c r="J36" s="82">
        <v>0</v>
      </c>
      <c r="K36" s="84">
        <v>0</v>
      </c>
      <c r="L36" s="86" t="str">
        <f>IF(M36&lt;H36,"×","")</f>
        <v/>
      </c>
      <c r="M36" s="78">
        <f>FLOOR(H36+(K36+J36)/24,1/48)</f>
        <v>44536.333333333328</v>
      </c>
      <c r="N36" s="80" t="str">
        <f>IF(M36="","",CHOOSE((WEEKDAY(M36,2)),"(Mon)","(Tue)","(Wed)","(Thu)","(Fri)","(Sat)","(Sun)"))</f>
        <v>(Mon)</v>
      </c>
      <c r="O36" s="82">
        <v>0</v>
      </c>
      <c r="P36" s="76" t="str">
        <f>IF(Q36&lt;M36,"×","")</f>
        <v/>
      </c>
      <c r="Q36" s="78">
        <f>FLOOR(M36+O36/24,1/48)</f>
        <v>44536.333333333328</v>
      </c>
      <c r="R36" s="80" t="str">
        <f>IF(Q36="","",CHOOSE((WEEKDAY(Q36,2)),"(Mon)","(Tue)","(Wed)","(Thu)","(Fri)","(Sat)","(Sun)"))</f>
        <v>(Mon)</v>
      </c>
      <c r="S36" s="82">
        <v>0</v>
      </c>
      <c r="T36" s="76" t="str">
        <f>IF(U36&lt;Q36,"×","")</f>
        <v/>
      </c>
      <c r="U36" s="78">
        <f>FLOOR(Q36+(AH35+S36)/24,1/48)</f>
        <v>44536.333333333328</v>
      </c>
      <c r="V36" s="80" t="str">
        <f>IF(U36="","",CHOOSE((WEEKDAY(U36,2)),"(Mon)","(Tue)","(Wed)","(Thu)","(Fri)","(Sat)","(Sun)"))</f>
        <v>(Mon)</v>
      </c>
      <c r="W36" s="82">
        <v>0</v>
      </c>
      <c r="X36" s="86" t="str">
        <f>IF(Y36&lt;U36,"×","")</f>
        <v/>
      </c>
      <c r="Y36" s="78">
        <f>FLOOR(U36+W36/24,1/48)</f>
        <v>44536.333333333328</v>
      </c>
      <c r="Z36" s="80" t="str">
        <f>IF(Y36="","",CHOOSE((WEEKDAY(Y36,2)),"(Mon)","(Tue)","(Wed)","(Thu)","(Fri)","(Sat)","(Sun)"))</f>
        <v>(Mon)</v>
      </c>
      <c r="AA36" s="82">
        <v>0</v>
      </c>
    </row>
    <row r="37" spans="1:27" ht="12" customHeight="1">
      <c r="A37" s="91"/>
      <c r="B37" s="94"/>
      <c r="C37" s="97"/>
      <c r="D37" s="99"/>
      <c r="E37" s="101"/>
      <c r="F37" s="83"/>
      <c r="G37" s="87" t="str">
        <f t="shared" si="0"/>
        <v/>
      </c>
      <c r="H37" s="79"/>
      <c r="I37" s="81"/>
      <c r="J37" s="83"/>
      <c r="K37" s="85"/>
      <c r="L37" s="87"/>
      <c r="M37" s="79"/>
      <c r="N37" s="81"/>
      <c r="O37" s="83"/>
      <c r="P37" s="77" t="str">
        <f>IF(Q37&lt;M37,"×","")</f>
        <v/>
      </c>
      <c r="Q37" s="79"/>
      <c r="R37" s="81"/>
      <c r="S37" s="83"/>
      <c r="T37" s="77" t="e">
        <f>IF(U37&lt;#REF!,"×","")</f>
        <v>#REF!</v>
      </c>
      <c r="U37" s="79"/>
      <c r="V37" s="81"/>
      <c r="W37" s="83"/>
      <c r="X37" s="87" t="str">
        <f>IF(Y37&lt;U37,"×","")</f>
        <v/>
      </c>
      <c r="Y37" s="79"/>
      <c r="Z37" s="81"/>
      <c r="AA37" s="83"/>
    </row>
    <row r="38" spans="1:27" ht="12" customHeight="1">
      <c r="A38" s="102"/>
      <c r="B38" s="92"/>
      <c r="C38" s="95">
        <v>0</v>
      </c>
      <c r="D38" s="6"/>
      <c r="E38" s="11"/>
      <c r="F38" s="13"/>
      <c r="G38" s="20"/>
      <c r="H38" s="23"/>
      <c r="I38" s="24"/>
      <c r="J38" s="13"/>
      <c r="K38" s="15"/>
      <c r="L38" s="20"/>
      <c r="M38" s="21"/>
      <c r="N38" s="22"/>
      <c r="O38" s="14"/>
      <c r="P38" s="26"/>
      <c r="Q38" s="21"/>
      <c r="R38" s="22"/>
      <c r="S38" s="14"/>
      <c r="T38" s="26"/>
      <c r="U38" s="21"/>
      <c r="V38" s="22"/>
      <c r="W38" s="14"/>
      <c r="X38" s="20"/>
      <c r="Y38" s="21"/>
      <c r="Z38" s="24"/>
      <c r="AA38" s="14"/>
    </row>
    <row r="39" spans="1:27" ht="12" customHeight="1">
      <c r="A39" s="90"/>
      <c r="B39" s="93"/>
      <c r="C39" s="96"/>
      <c r="D39" s="98">
        <v>17.7</v>
      </c>
      <c r="E39" s="100">
        <f>B38/D39</f>
        <v>0</v>
      </c>
      <c r="F39" s="82">
        <v>0</v>
      </c>
      <c r="G39" s="86" t="str">
        <f t="shared" ref="G39:G46" si="1">IF(H39&lt;Y36,"×","")</f>
        <v/>
      </c>
      <c r="H39" s="78">
        <f>FLOOR(Y36+(AA36+E39+C38+F39)/24,1/48)</f>
        <v>44536.333333333328</v>
      </c>
      <c r="I39" s="80" t="str">
        <f>IF(H39="","",CHOOSE((WEEKDAY(H39,2)),"(Mon)","(Tue)","(Wed)","(Thu)","(Fri)","(Sat)","(Sun)"))</f>
        <v>(Mon)</v>
      </c>
      <c r="J39" s="82">
        <v>0</v>
      </c>
      <c r="K39" s="84">
        <v>0</v>
      </c>
      <c r="L39" s="86" t="str">
        <f>IF(M39&lt;H39,"×","")</f>
        <v/>
      </c>
      <c r="M39" s="78">
        <f>FLOOR(H39+(K39+J39)/24,1/48)</f>
        <v>44536.333333333328</v>
      </c>
      <c r="N39" s="80" t="str">
        <f>IF(M39="","",CHOOSE((WEEKDAY(M39,2)),"(Mon)","(Tue)","(Wed)","(Thu)","(Fri)","(Sat)","(Sun)"))</f>
        <v>(Mon)</v>
      </c>
      <c r="O39" s="82">
        <v>0</v>
      </c>
      <c r="P39" s="76" t="str">
        <f>IF(Q39&lt;M39,"×","")</f>
        <v/>
      </c>
      <c r="Q39" s="78">
        <f>FLOOR(M39+O39/24,1/48)</f>
        <v>44536.333333333328</v>
      </c>
      <c r="R39" s="80" t="str">
        <f>IF(Q39="","",CHOOSE((WEEKDAY(Q39,2)),"(Mon)","(Tue)","(Wed)","(Thu)","(Fri)","(Sat)","(Sun)"))</f>
        <v>(Mon)</v>
      </c>
      <c r="S39" s="82">
        <v>0</v>
      </c>
      <c r="T39" s="76" t="str">
        <f>IF(U39&lt;Q39,"×","")</f>
        <v/>
      </c>
      <c r="U39" s="78">
        <f>FLOOR(Q39+(AH38+S39)/24,1/48)</f>
        <v>44536.333333333328</v>
      </c>
      <c r="V39" s="80" t="str">
        <f>IF(U39="","",CHOOSE((WEEKDAY(U39,2)),"(Mon)","(Tue)","(Wed)","(Thu)","(Fri)","(Sat)","(Sun)"))</f>
        <v>(Mon)</v>
      </c>
      <c r="W39" s="82">
        <v>0</v>
      </c>
      <c r="X39" s="86" t="str">
        <f>IF(Y39&lt;U39,"×","")</f>
        <v/>
      </c>
      <c r="Y39" s="78">
        <f>FLOOR(U39+W39/24,1/48)</f>
        <v>44536.333333333328</v>
      </c>
      <c r="Z39" s="80" t="str">
        <f>IF(Y39="","",CHOOSE((WEEKDAY(Y39,2)),"(Mon)","(Tue)","(Wed)","(Thu)","(Fri)","(Sat)","(Sun)"))</f>
        <v>(Mon)</v>
      </c>
      <c r="AA39" s="82">
        <v>0</v>
      </c>
    </row>
    <row r="40" spans="1:27" ht="12" customHeight="1">
      <c r="A40" s="91"/>
      <c r="B40" s="94"/>
      <c r="C40" s="97"/>
      <c r="D40" s="99"/>
      <c r="E40" s="101"/>
      <c r="F40" s="83"/>
      <c r="G40" s="87" t="str">
        <f t="shared" si="1"/>
        <v/>
      </c>
      <c r="H40" s="79"/>
      <c r="I40" s="81"/>
      <c r="J40" s="83"/>
      <c r="K40" s="85"/>
      <c r="L40" s="87"/>
      <c r="M40" s="79"/>
      <c r="N40" s="81"/>
      <c r="O40" s="83"/>
      <c r="P40" s="77" t="str">
        <f>IF(Q40&lt;M40,"×","")</f>
        <v/>
      </c>
      <c r="Q40" s="79"/>
      <c r="R40" s="81"/>
      <c r="S40" s="83"/>
      <c r="T40" s="77" t="e">
        <f>IF(U40&lt;#REF!,"×","")</f>
        <v>#REF!</v>
      </c>
      <c r="U40" s="79"/>
      <c r="V40" s="81"/>
      <c r="W40" s="83"/>
      <c r="X40" s="87" t="str">
        <f>IF(Y40&lt;U40,"×","")</f>
        <v/>
      </c>
      <c r="Y40" s="79"/>
      <c r="Z40" s="81"/>
      <c r="AA40" s="83"/>
    </row>
    <row r="41" spans="1:27" ht="12" customHeight="1">
      <c r="A41" s="102"/>
      <c r="B41" s="92"/>
      <c r="C41" s="95">
        <v>0</v>
      </c>
      <c r="D41" s="6"/>
      <c r="E41" s="11"/>
      <c r="F41" s="13"/>
      <c r="G41" s="20"/>
      <c r="H41" s="23"/>
      <c r="I41" s="24"/>
      <c r="J41" s="13"/>
      <c r="K41" s="15"/>
      <c r="L41" s="20"/>
      <c r="M41" s="21"/>
      <c r="N41" s="22"/>
      <c r="O41" s="14"/>
      <c r="P41" s="26"/>
      <c r="Q41" s="21"/>
      <c r="R41" s="22"/>
      <c r="S41" s="14"/>
      <c r="T41" s="26"/>
      <c r="U41" s="21"/>
      <c r="V41" s="22"/>
      <c r="W41" s="14"/>
      <c r="X41" s="20"/>
      <c r="Y41" s="21"/>
      <c r="Z41" s="24"/>
      <c r="AA41" s="14"/>
    </row>
    <row r="42" spans="1:27" ht="12" customHeight="1">
      <c r="A42" s="90"/>
      <c r="B42" s="93"/>
      <c r="C42" s="96"/>
      <c r="D42" s="98">
        <v>17.7</v>
      </c>
      <c r="E42" s="100">
        <f>B41/D42</f>
        <v>0</v>
      </c>
      <c r="F42" s="82">
        <v>0</v>
      </c>
      <c r="G42" s="86"/>
      <c r="H42" s="78">
        <f>FLOOR(Y39+(AA39+E42+C41+F42)/24,1/48)</f>
        <v>44536.333333333328</v>
      </c>
      <c r="I42" s="80" t="str">
        <f>IF(H42="","",CHOOSE((WEEKDAY(H42,2)),"(Mon)","(Tue)","(Wed)","(Thu)","(Fri)","(Sat)","(Sun)"))</f>
        <v>(Mon)</v>
      </c>
      <c r="J42" s="82">
        <v>0</v>
      </c>
      <c r="K42" s="84">
        <v>0</v>
      </c>
      <c r="L42" s="86" t="str">
        <f>IF(M42&lt;H42,"×","")</f>
        <v/>
      </c>
      <c r="M42" s="78">
        <f>FLOOR(H42+(K42+J42)/24,1/48)</f>
        <v>44536.333333333328</v>
      </c>
      <c r="N42" s="80" t="str">
        <f>IF(M42="","",CHOOSE((WEEKDAY(M42,2)),"(Mon)","(Tue)","(Wed)","(Thu)","(Fri)","(Sat)","(Sun)"))</f>
        <v>(Mon)</v>
      </c>
      <c r="O42" s="82">
        <v>0</v>
      </c>
      <c r="P42" s="76" t="str">
        <f>IF(Q42&lt;M42,"×","")</f>
        <v/>
      </c>
      <c r="Q42" s="78">
        <f>FLOOR(M42+O42/24,1/48)</f>
        <v>44536.333333333328</v>
      </c>
      <c r="R42" s="80" t="str">
        <f>IF(Q42="","",CHOOSE((WEEKDAY(Q42,2)),"(Mon)","(Tue)","(Wed)","(Thu)","(Fri)","(Sat)","(Sun)"))</f>
        <v>(Mon)</v>
      </c>
      <c r="S42" s="82">
        <v>0</v>
      </c>
      <c r="T42" s="76" t="str">
        <f>IF(U42&lt;Q42,"×","")</f>
        <v/>
      </c>
      <c r="U42" s="78">
        <f>FLOOR(Q42+(AH41+S42)/24,1/48)</f>
        <v>44536.333333333328</v>
      </c>
      <c r="V42" s="80" t="str">
        <f>IF(U42="","",CHOOSE((WEEKDAY(U42,2)),"(Mon)","(Tue)","(Wed)","(Thu)","(Fri)","(Sat)","(Sun)"))</f>
        <v>(Mon)</v>
      </c>
      <c r="W42" s="82">
        <v>0</v>
      </c>
      <c r="X42" s="86" t="str">
        <f>IF(Y42&lt;U42,"×","")</f>
        <v/>
      </c>
      <c r="Y42" s="78">
        <f>FLOOR(U42+W42/24,1/48)</f>
        <v>44536.333333333328</v>
      </c>
      <c r="Z42" s="80" t="str">
        <f>IF(Y42="","",CHOOSE((WEEKDAY(Y42,2)),"(Mon)","(Tue)","(Wed)","(Thu)","(Fri)","(Sat)","(Sun)"))</f>
        <v>(Mon)</v>
      </c>
      <c r="AA42" s="82">
        <v>0</v>
      </c>
    </row>
    <row r="43" spans="1:27" ht="12" customHeight="1">
      <c r="A43" s="91"/>
      <c r="B43" s="94"/>
      <c r="C43" s="97"/>
      <c r="D43" s="99"/>
      <c r="E43" s="101"/>
      <c r="F43" s="83"/>
      <c r="G43" s="87"/>
      <c r="H43" s="79"/>
      <c r="I43" s="81"/>
      <c r="J43" s="83"/>
      <c r="K43" s="85"/>
      <c r="L43" s="87"/>
      <c r="M43" s="79"/>
      <c r="N43" s="81"/>
      <c r="O43" s="83"/>
      <c r="P43" s="77" t="str">
        <f>IF(Q43&lt;M43,"×","")</f>
        <v/>
      </c>
      <c r="Q43" s="79"/>
      <c r="R43" s="81"/>
      <c r="S43" s="83"/>
      <c r="T43" s="77" t="e">
        <f>IF(U43&lt;#REF!,"×","")</f>
        <v>#REF!</v>
      </c>
      <c r="U43" s="79"/>
      <c r="V43" s="81"/>
      <c r="W43" s="83"/>
      <c r="X43" s="87" t="str">
        <f>IF(Y43&lt;U43,"×","")</f>
        <v/>
      </c>
      <c r="Y43" s="79"/>
      <c r="Z43" s="81"/>
      <c r="AA43" s="83"/>
    </row>
    <row r="44" spans="1:27" ht="12" customHeight="1">
      <c r="A44" s="102"/>
      <c r="B44" s="92"/>
      <c r="C44" s="95">
        <v>0</v>
      </c>
      <c r="D44" s="6"/>
      <c r="E44" s="11"/>
      <c r="F44" s="13"/>
      <c r="G44" s="20"/>
      <c r="H44" s="23"/>
      <c r="I44" s="24"/>
      <c r="J44" s="13"/>
      <c r="K44" s="15"/>
      <c r="L44" s="20"/>
      <c r="M44" s="21"/>
      <c r="N44" s="22"/>
      <c r="O44" s="14"/>
      <c r="P44" s="26"/>
      <c r="Q44" s="21"/>
      <c r="R44" s="22"/>
      <c r="S44" s="14"/>
      <c r="T44" s="26"/>
      <c r="U44" s="21"/>
      <c r="V44" s="22"/>
      <c r="W44" s="14"/>
      <c r="X44" s="20"/>
      <c r="Y44" s="21"/>
      <c r="Z44" s="24"/>
      <c r="AA44" s="14"/>
    </row>
    <row r="45" spans="1:27" ht="12" customHeight="1">
      <c r="A45" s="90"/>
      <c r="B45" s="93"/>
      <c r="C45" s="96"/>
      <c r="D45" s="98">
        <v>17.7</v>
      </c>
      <c r="E45" s="100">
        <f>B44/D45</f>
        <v>0</v>
      </c>
      <c r="F45" s="82">
        <v>0</v>
      </c>
      <c r="G45" s="86" t="str">
        <f t="shared" si="1"/>
        <v/>
      </c>
      <c r="H45" s="78">
        <f>FLOOR(Y42+(AA42+E45+C44+F45)/24,1/48)</f>
        <v>44536.333333333328</v>
      </c>
      <c r="I45" s="80" t="str">
        <f>IF(H45="","",CHOOSE((WEEKDAY(H45,2)),"(Mon)","(Tue)","(Wed)","(Thu)","(Fri)","(Sat)","(Sun)"))</f>
        <v>(Mon)</v>
      </c>
      <c r="J45" s="82">
        <v>0</v>
      </c>
      <c r="K45" s="84">
        <v>0</v>
      </c>
      <c r="L45" s="86" t="str">
        <f>IF(M45&lt;H45,"×","")</f>
        <v/>
      </c>
      <c r="M45" s="78">
        <f>FLOOR(H45+(K45+J45)/24,1/48)</f>
        <v>44536.333333333328</v>
      </c>
      <c r="N45" s="80" t="str">
        <f>IF(M45="","",CHOOSE((WEEKDAY(M45,2)),"(Mon)","(Tue)","(Wed)","(Thu)","(Fri)","(Sat)","(Sun)"))</f>
        <v>(Mon)</v>
      </c>
      <c r="O45" s="82">
        <v>0</v>
      </c>
      <c r="P45" s="76" t="str">
        <f>IF(Q45&lt;M45,"×","")</f>
        <v/>
      </c>
      <c r="Q45" s="78">
        <f>FLOOR(M45+O45/24,1/48)</f>
        <v>44536.333333333328</v>
      </c>
      <c r="R45" s="80" t="str">
        <f>IF(Q45="","",CHOOSE((WEEKDAY(Q45,2)),"(Mon)","(Tue)","(Wed)","(Thu)","(Fri)","(Sat)","(Sun)"))</f>
        <v>(Mon)</v>
      </c>
      <c r="S45" s="82">
        <v>0</v>
      </c>
      <c r="T45" s="76" t="str">
        <f>IF(U45&lt;Q45,"×","")</f>
        <v/>
      </c>
      <c r="U45" s="78">
        <f>FLOOR(Q45+(AH44+S45)/24,1/48)</f>
        <v>44536.333333333328</v>
      </c>
      <c r="V45" s="80" t="str">
        <f>IF(U45="","",CHOOSE((WEEKDAY(U45,2)),"(Mon)","(Tue)","(Wed)","(Thu)","(Fri)","(Sat)","(Sun)"))</f>
        <v>(Mon)</v>
      </c>
      <c r="W45" s="82">
        <v>0</v>
      </c>
      <c r="X45" s="86" t="str">
        <f>IF(Y45&lt;U45,"×","")</f>
        <v/>
      </c>
      <c r="Y45" s="78">
        <f>FLOOR(U45+W45/24,1/48)</f>
        <v>44536.333333333328</v>
      </c>
      <c r="Z45" s="80" t="str">
        <f>IF(Y45="","",CHOOSE((WEEKDAY(Y45,2)),"(Mon)","(Tue)","(Wed)","(Thu)","(Fri)","(Sat)","(Sun)"))</f>
        <v>(Mon)</v>
      </c>
      <c r="AA45" s="82">
        <v>0</v>
      </c>
    </row>
    <row r="46" spans="1:27" ht="12" customHeight="1">
      <c r="A46" s="91"/>
      <c r="B46" s="94"/>
      <c r="C46" s="97"/>
      <c r="D46" s="99"/>
      <c r="E46" s="101"/>
      <c r="F46" s="83"/>
      <c r="G46" s="87" t="str">
        <f t="shared" si="1"/>
        <v/>
      </c>
      <c r="H46" s="79"/>
      <c r="I46" s="81"/>
      <c r="J46" s="83"/>
      <c r="K46" s="85"/>
      <c r="L46" s="87"/>
      <c r="M46" s="79"/>
      <c r="N46" s="81"/>
      <c r="O46" s="83"/>
      <c r="P46" s="77" t="str">
        <f>IF(Q46&lt;M46,"×","")</f>
        <v/>
      </c>
      <c r="Q46" s="79"/>
      <c r="R46" s="81"/>
      <c r="S46" s="83"/>
      <c r="T46" s="77" t="e">
        <f>IF(U46&lt;#REF!,"×","")</f>
        <v>#REF!</v>
      </c>
      <c r="U46" s="79"/>
      <c r="V46" s="81"/>
      <c r="W46" s="83"/>
      <c r="X46" s="87" t="str">
        <f>IF(Y46&lt;U46,"×","")</f>
        <v/>
      </c>
      <c r="Y46" s="79"/>
      <c r="Z46" s="81"/>
      <c r="AA46" s="83"/>
    </row>
    <row r="47" spans="1:27" ht="12" customHeight="1">
      <c r="A47" s="102"/>
      <c r="B47" s="92"/>
      <c r="C47" s="95">
        <v>0</v>
      </c>
      <c r="D47" s="6"/>
      <c r="E47" s="11"/>
      <c r="F47" s="13"/>
      <c r="G47" s="20"/>
      <c r="H47" s="23"/>
      <c r="I47" s="24"/>
      <c r="J47" s="13"/>
      <c r="K47" s="15"/>
      <c r="L47" s="20"/>
      <c r="M47" s="21"/>
      <c r="N47" s="22"/>
      <c r="O47" s="14"/>
      <c r="P47" s="26"/>
      <c r="Q47" s="21"/>
      <c r="R47" s="22"/>
      <c r="S47" s="14"/>
      <c r="T47" s="26"/>
      <c r="U47" s="21"/>
      <c r="V47" s="22"/>
      <c r="W47" s="14"/>
      <c r="X47" s="20"/>
      <c r="Y47" s="21"/>
      <c r="Z47" s="24"/>
      <c r="AA47" s="14"/>
    </row>
    <row r="48" spans="1:27" ht="12" customHeight="1">
      <c r="A48" s="90"/>
      <c r="B48" s="93"/>
      <c r="C48" s="96"/>
      <c r="D48" s="98">
        <v>17.7</v>
      </c>
      <c r="E48" s="100">
        <f>B47/D48</f>
        <v>0</v>
      </c>
      <c r="F48" s="82">
        <v>0</v>
      </c>
      <c r="G48" s="86" t="str">
        <f t="shared" ref="G48:G55" si="2">IF(H48&lt;Y45,"×","")</f>
        <v/>
      </c>
      <c r="H48" s="78">
        <f>FLOOR(Y45+(AA45+E48+C47+F48)/24,1/48)</f>
        <v>44536.333333333328</v>
      </c>
      <c r="I48" s="80" t="str">
        <f>IF(H48="","",CHOOSE((WEEKDAY(H48,2)),"(Mon)","(Tue)","(Wed)","(Thu)","(Fri)","(Sat)","(Sun)"))</f>
        <v>(Mon)</v>
      </c>
      <c r="J48" s="82">
        <v>0</v>
      </c>
      <c r="K48" s="84">
        <v>0</v>
      </c>
      <c r="L48" s="86" t="str">
        <f>IF(M48&lt;H48,"×","")</f>
        <v/>
      </c>
      <c r="M48" s="78">
        <f>FLOOR(H48+(K48+J48)/24,1/48)</f>
        <v>44536.333333333328</v>
      </c>
      <c r="N48" s="80" t="str">
        <f>IF(M48="","",CHOOSE((WEEKDAY(M48,2)),"(Mon)","(Tue)","(Wed)","(Thu)","(Fri)","(Sat)","(Sun)"))</f>
        <v>(Mon)</v>
      </c>
      <c r="O48" s="82">
        <v>0</v>
      </c>
      <c r="P48" s="76" t="str">
        <f>IF(Q48&lt;M48,"×","")</f>
        <v/>
      </c>
      <c r="Q48" s="78">
        <f>FLOOR(M48+O48/24,1/48)</f>
        <v>44536.333333333328</v>
      </c>
      <c r="R48" s="80" t="str">
        <f>IF(Q48="","",CHOOSE((WEEKDAY(Q48,2)),"(Mon)","(Tue)","(Wed)","(Thu)","(Fri)","(Sat)","(Sun)"))</f>
        <v>(Mon)</v>
      </c>
      <c r="S48" s="82">
        <v>0</v>
      </c>
      <c r="T48" s="76" t="str">
        <f>IF(U48&lt;Q48,"×","")</f>
        <v/>
      </c>
      <c r="U48" s="78">
        <f>FLOOR(Q48+(AH47+S48)/24,1/48)</f>
        <v>44536.333333333328</v>
      </c>
      <c r="V48" s="80" t="str">
        <f>IF(U48="","",CHOOSE((WEEKDAY(U48,2)),"(Mon)","(Tue)","(Wed)","(Thu)","(Fri)","(Sat)","(Sun)"))</f>
        <v>(Mon)</v>
      </c>
      <c r="W48" s="82">
        <v>0</v>
      </c>
      <c r="X48" s="86" t="str">
        <f>IF(Y48&lt;U48,"×","")</f>
        <v/>
      </c>
      <c r="Y48" s="78">
        <f>FLOOR(U48+W48/24,1/48)</f>
        <v>44536.333333333328</v>
      </c>
      <c r="Z48" s="80" t="str">
        <f>IF(Y48="","",CHOOSE((WEEKDAY(Y48,2)),"(Mon)","(Tue)","(Wed)","(Thu)","(Fri)","(Sat)","(Sun)"))</f>
        <v>(Mon)</v>
      </c>
      <c r="AA48" s="82">
        <f>K48</f>
        <v>0</v>
      </c>
    </row>
    <row r="49" spans="1:27" ht="12" customHeight="1">
      <c r="A49" s="91"/>
      <c r="B49" s="94"/>
      <c r="C49" s="97"/>
      <c r="D49" s="99"/>
      <c r="E49" s="101"/>
      <c r="F49" s="83"/>
      <c r="G49" s="87" t="str">
        <f t="shared" si="2"/>
        <v/>
      </c>
      <c r="H49" s="79"/>
      <c r="I49" s="81"/>
      <c r="J49" s="83"/>
      <c r="K49" s="85"/>
      <c r="L49" s="87"/>
      <c r="M49" s="79"/>
      <c r="N49" s="81"/>
      <c r="O49" s="83"/>
      <c r="P49" s="77" t="str">
        <f>IF(Q49&lt;M49,"×","")</f>
        <v/>
      </c>
      <c r="Q49" s="79"/>
      <c r="R49" s="81"/>
      <c r="S49" s="83"/>
      <c r="T49" s="77" t="e">
        <f>IF(U49&lt;#REF!,"×","")</f>
        <v>#REF!</v>
      </c>
      <c r="U49" s="79"/>
      <c r="V49" s="81"/>
      <c r="W49" s="83"/>
      <c r="X49" s="87" t="str">
        <f>IF(Y49&lt;U49,"×","")</f>
        <v/>
      </c>
      <c r="Y49" s="79"/>
      <c r="Z49" s="81"/>
      <c r="AA49" s="83"/>
    </row>
    <row r="50" spans="1:27" ht="12" customHeight="1">
      <c r="A50" s="102"/>
      <c r="B50" s="92"/>
      <c r="C50" s="95">
        <v>0</v>
      </c>
      <c r="D50" s="6"/>
      <c r="E50" s="11"/>
      <c r="F50" s="13"/>
      <c r="G50" s="20"/>
      <c r="H50" s="23"/>
      <c r="I50" s="24"/>
      <c r="J50" s="13"/>
      <c r="K50" s="15"/>
      <c r="L50" s="20"/>
      <c r="M50" s="21"/>
      <c r="N50" s="22"/>
      <c r="O50" s="14"/>
      <c r="P50" s="26"/>
      <c r="Q50" s="21"/>
      <c r="R50" s="22"/>
      <c r="S50" s="14"/>
      <c r="T50" s="26"/>
      <c r="U50" s="21"/>
      <c r="V50" s="22"/>
      <c r="W50" s="14"/>
      <c r="X50" s="20"/>
      <c r="Y50" s="21"/>
      <c r="Z50" s="24"/>
      <c r="AA50" s="14"/>
    </row>
    <row r="51" spans="1:27" ht="12" customHeight="1">
      <c r="A51" s="90"/>
      <c r="B51" s="93"/>
      <c r="C51" s="96"/>
      <c r="D51" s="98">
        <v>17.7</v>
      </c>
      <c r="E51" s="100">
        <f>B50/D51</f>
        <v>0</v>
      </c>
      <c r="F51" s="82">
        <v>0</v>
      </c>
      <c r="G51" s="86" t="str">
        <f t="shared" si="2"/>
        <v/>
      </c>
      <c r="H51" s="78">
        <f>FLOOR(Y48+(AA48+E51+C50+F51)/24,1/48)</f>
        <v>44536.333333333328</v>
      </c>
      <c r="I51" s="80" t="str">
        <f>IF(H51="","",CHOOSE((WEEKDAY(H51,2)),"(Mon)","(Tue)","(Wed)","(Thu)","(Fri)","(Sat)","(Sun)"))</f>
        <v>(Mon)</v>
      </c>
      <c r="J51" s="82">
        <v>0</v>
      </c>
      <c r="K51" s="84">
        <v>0</v>
      </c>
      <c r="L51" s="86" t="str">
        <f>IF(M51&lt;H51,"×","")</f>
        <v/>
      </c>
      <c r="M51" s="78">
        <f>FLOOR(H51+(K51+J51)/24,1/48)</f>
        <v>44536.333333333328</v>
      </c>
      <c r="N51" s="80" t="str">
        <f>IF(M51="","",CHOOSE((WEEKDAY(M51,2)),"(Mon)","(Tue)","(Wed)","(Thu)","(Fri)","(Sat)","(Sun)"))</f>
        <v>(Mon)</v>
      </c>
      <c r="O51" s="82">
        <v>0</v>
      </c>
      <c r="P51" s="76" t="str">
        <f>IF(Q51&lt;M51,"×","")</f>
        <v/>
      </c>
      <c r="Q51" s="78">
        <f>FLOOR(M51+O51/24,1/48)</f>
        <v>44536.333333333328</v>
      </c>
      <c r="R51" s="80" t="str">
        <f>IF(Q51="","",CHOOSE((WEEKDAY(Q51,2)),"(Mon)","(Tue)","(Wed)","(Thu)","(Fri)","(Sat)","(Sun)"))</f>
        <v>(Mon)</v>
      </c>
      <c r="S51" s="82">
        <v>0</v>
      </c>
      <c r="T51" s="76" t="str">
        <f>IF(U51&lt;Q51,"×","")</f>
        <v/>
      </c>
      <c r="U51" s="78">
        <f>FLOOR(Q51+(AH50+S51)/24,1/48)</f>
        <v>44536.333333333328</v>
      </c>
      <c r="V51" s="80" t="str">
        <f>IF(U51="","",CHOOSE((WEEKDAY(U51,2)),"(Mon)","(Tue)","(Wed)","(Thu)","(Fri)","(Sat)","(Sun)"))</f>
        <v>(Mon)</v>
      </c>
      <c r="W51" s="82">
        <v>0</v>
      </c>
      <c r="X51" s="86" t="str">
        <f>IF(Y51&lt;U51,"×","")</f>
        <v/>
      </c>
      <c r="Y51" s="78">
        <f>FLOOR(U51+W51/24,1/48)</f>
        <v>44536.333333333328</v>
      </c>
      <c r="Z51" s="80" t="str">
        <f>IF(Y51="","",CHOOSE((WEEKDAY(Y51,2)),"(Mon)","(Tue)","(Wed)","(Thu)","(Fri)","(Sat)","(Sun)"))</f>
        <v>(Mon)</v>
      </c>
      <c r="AA51" s="82">
        <f>K51</f>
        <v>0</v>
      </c>
    </row>
    <row r="52" spans="1:27" ht="12" customHeight="1">
      <c r="A52" s="91"/>
      <c r="B52" s="94"/>
      <c r="C52" s="97"/>
      <c r="D52" s="99"/>
      <c r="E52" s="101"/>
      <c r="F52" s="83"/>
      <c r="G52" s="87" t="str">
        <f t="shared" si="2"/>
        <v/>
      </c>
      <c r="H52" s="79"/>
      <c r="I52" s="81"/>
      <c r="J52" s="83"/>
      <c r="K52" s="85"/>
      <c r="L52" s="87"/>
      <c r="M52" s="79"/>
      <c r="N52" s="81"/>
      <c r="O52" s="83"/>
      <c r="P52" s="77" t="str">
        <f>IF(Q52&lt;M52,"×","")</f>
        <v/>
      </c>
      <c r="Q52" s="79"/>
      <c r="R52" s="81"/>
      <c r="S52" s="83"/>
      <c r="T52" s="77" t="e">
        <f>IF(U52&lt;#REF!,"×","")</f>
        <v>#REF!</v>
      </c>
      <c r="U52" s="79"/>
      <c r="V52" s="81"/>
      <c r="W52" s="83"/>
      <c r="X52" s="87" t="str">
        <f>IF(Y52&lt;U52,"×","")</f>
        <v/>
      </c>
      <c r="Y52" s="79"/>
      <c r="Z52" s="81"/>
      <c r="AA52" s="83"/>
    </row>
    <row r="53" spans="1:27" ht="12" customHeight="1">
      <c r="A53" s="89"/>
      <c r="B53" s="92"/>
      <c r="C53" s="95"/>
      <c r="D53" s="6"/>
      <c r="E53" s="11"/>
      <c r="F53" s="13"/>
      <c r="G53" s="20"/>
      <c r="H53" s="23"/>
      <c r="I53" s="24"/>
      <c r="J53" s="13"/>
      <c r="K53" s="15"/>
      <c r="L53" s="20"/>
      <c r="M53" s="21"/>
      <c r="N53" s="22"/>
      <c r="O53" s="14"/>
      <c r="P53" s="26"/>
      <c r="Q53" s="21"/>
      <c r="R53" s="22"/>
      <c r="S53" s="14"/>
      <c r="T53" s="26"/>
      <c r="U53" s="21"/>
      <c r="V53" s="22"/>
      <c r="W53" s="14"/>
      <c r="X53" s="20"/>
      <c r="Y53" s="21"/>
      <c r="Z53" s="24"/>
      <c r="AA53" s="14"/>
    </row>
    <row r="54" spans="1:27" ht="12" customHeight="1">
      <c r="A54" s="90"/>
      <c r="B54" s="93"/>
      <c r="C54" s="96"/>
      <c r="D54" s="98">
        <v>15.9</v>
      </c>
      <c r="E54" s="100">
        <f>B53/D54</f>
        <v>0</v>
      </c>
      <c r="F54" s="82">
        <v>0</v>
      </c>
      <c r="G54" s="86" t="str">
        <f t="shared" si="2"/>
        <v/>
      </c>
      <c r="H54" s="78">
        <f>FLOOR(Y51+(AA51+E54+C53+F54)/24,1/48)</f>
        <v>44536.333333333328</v>
      </c>
      <c r="I54" s="80" t="str">
        <f>IF(H54="","",CHOOSE((WEEKDAY(H54,2)),"(Mon)","(Tue)","(Wed)","(Thu)","(Fri)","(Sat)","(Sun)"))</f>
        <v>(Mon)</v>
      </c>
      <c r="J54" s="82">
        <v>0</v>
      </c>
      <c r="K54" s="84">
        <v>0</v>
      </c>
      <c r="L54" s="86" t="str">
        <f>IF(M54&lt;H54,"×","")</f>
        <v/>
      </c>
      <c r="M54" s="78">
        <f>FLOOR(H54+(K54+J54)/24,1/48)</f>
        <v>44536.333333333328</v>
      </c>
      <c r="N54" s="80" t="str">
        <f>IF(M54="","",CHOOSE((WEEKDAY(M54,2)),"(Mon)","(Tue)","(Wed)","(Thu)","(Fri)","(Sat)","(Sun)"))</f>
        <v>(Mon)</v>
      </c>
      <c r="O54" s="82">
        <v>0</v>
      </c>
      <c r="P54" s="76" t="str">
        <f>IF(Q54&lt;M54,"×","")</f>
        <v/>
      </c>
      <c r="Q54" s="78">
        <f>FLOOR(M54+O54/24,1/48)</f>
        <v>44536.333333333328</v>
      </c>
      <c r="R54" s="80" t="str">
        <f>IF(Q54="","",CHOOSE((WEEKDAY(Q54,2)),"(Mon)","(Tue)","(Wed)","(Thu)","(Fri)","(Sat)","(Sun)"))</f>
        <v>(Mon)</v>
      </c>
      <c r="S54" s="82">
        <v>0</v>
      </c>
      <c r="T54" s="76" t="str">
        <f>IF(U54&lt;Q54,"×","")</f>
        <v/>
      </c>
      <c r="U54" s="78">
        <f>FLOOR(Q54+(AH53+S54)/24,1/48)</f>
        <v>44536.333333333328</v>
      </c>
      <c r="V54" s="80" t="str">
        <f>IF(U54="","",CHOOSE((WEEKDAY(U54,2)),"(Mon)","(Tue)","(Wed)","(Thu)","(Fri)","(Sat)","(Sun)"))</f>
        <v>(Mon)</v>
      </c>
      <c r="W54" s="82">
        <v>0</v>
      </c>
      <c r="X54" s="86" t="str">
        <f>IF(Y54&lt;U54,"×","")</f>
        <v/>
      </c>
      <c r="Y54" s="78">
        <f>FLOOR(U54+W54/24,1/48)</f>
        <v>44536.333333333328</v>
      </c>
      <c r="Z54" s="80" t="str">
        <f>IF(Y54="","",CHOOSE((WEEKDAY(Y54,2)),"(Mon)","(Tue)","(Wed)","(Thu)","(Fri)","(Sat)","(Sun)"))</f>
        <v>(Mon)</v>
      </c>
      <c r="AA54" s="82">
        <f>K54</f>
        <v>0</v>
      </c>
    </row>
    <row r="55" spans="1:27" ht="12" customHeight="1">
      <c r="A55" s="91"/>
      <c r="B55" s="94"/>
      <c r="C55" s="97"/>
      <c r="D55" s="99"/>
      <c r="E55" s="101"/>
      <c r="F55" s="83"/>
      <c r="G55" s="87" t="str">
        <f t="shared" si="2"/>
        <v/>
      </c>
      <c r="H55" s="79"/>
      <c r="I55" s="81"/>
      <c r="J55" s="83"/>
      <c r="K55" s="85"/>
      <c r="L55" s="87"/>
      <c r="M55" s="79"/>
      <c r="N55" s="81"/>
      <c r="O55" s="83"/>
      <c r="P55" s="77" t="str">
        <f>IF(Q55&lt;M55,"×","")</f>
        <v/>
      </c>
      <c r="Q55" s="79"/>
      <c r="R55" s="81"/>
      <c r="S55" s="83"/>
      <c r="T55" s="77" t="e">
        <f>IF(U55&lt;#REF!,"×","")</f>
        <v>#REF!</v>
      </c>
      <c r="U55" s="79"/>
      <c r="V55" s="81"/>
      <c r="W55" s="83"/>
      <c r="X55" s="87" t="str">
        <f>IF(Y55&lt;U55,"×","")</f>
        <v/>
      </c>
      <c r="Y55" s="79"/>
      <c r="Z55" s="81"/>
      <c r="AA55" s="83"/>
    </row>
    <row r="56" spans="1:27" ht="15" thickBot="1"/>
    <row r="57" spans="1:27" ht="15" thickBot="1">
      <c r="B57" s="38"/>
      <c r="H57" s="30" t="s">
        <v>0</v>
      </c>
      <c r="I57" s="66" t="s">
        <v>20</v>
      </c>
      <c r="J57" s="67"/>
      <c r="K57" s="68" t="s">
        <v>16</v>
      </c>
      <c r="L57" s="69"/>
      <c r="M57" s="54" t="s">
        <v>22</v>
      </c>
      <c r="Q57" s="30" t="s">
        <v>0</v>
      </c>
      <c r="R57" s="66" t="s">
        <v>21</v>
      </c>
      <c r="S57" s="67"/>
      <c r="T57" s="68" t="s">
        <v>16</v>
      </c>
      <c r="U57" s="69"/>
      <c r="V57" s="54" t="s">
        <v>22</v>
      </c>
    </row>
    <row r="58" spans="1:27" ht="15" thickBot="1">
      <c r="B58" s="48">
        <v>584</v>
      </c>
      <c r="H58" s="31">
        <v>44540</v>
      </c>
      <c r="I58" s="50">
        <v>1298.43</v>
      </c>
      <c r="J58" s="32" t="s">
        <v>1</v>
      </c>
      <c r="K58" s="70"/>
      <c r="L58" s="71"/>
      <c r="M58" s="55"/>
      <c r="Q58" s="31">
        <v>44540</v>
      </c>
      <c r="R58" s="50">
        <v>161.33000000000001</v>
      </c>
      <c r="S58" s="32" t="s">
        <v>1</v>
      </c>
      <c r="T58" s="70"/>
      <c r="U58" s="71"/>
      <c r="V58" s="55"/>
    </row>
    <row r="59" spans="1:27" ht="16.2" thickBot="1">
      <c r="B59" s="49">
        <v>734</v>
      </c>
      <c r="H59" s="33"/>
      <c r="I59" s="51"/>
      <c r="J59" s="34" t="s">
        <v>1</v>
      </c>
      <c r="K59" s="72">
        <f t="shared" ref="K59:K64" si="3">I59-I58</f>
        <v>-1298.43</v>
      </c>
      <c r="L59" s="73"/>
      <c r="M59" s="56">
        <f>K59*B58</f>
        <v>-758283.12</v>
      </c>
      <c r="Q59" s="33"/>
      <c r="R59" s="51"/>
      <c r="S59" s="34" t="s">
        <v>1</v>
      </c>
      <c r="T59" s="72">
        <f t="shared" ref="T59:T64" si="4">R59-R58</f>
        <v>-161.33000000000001</v>
      </c>
      <c r="U59" s="73"/>
      <c r="V59" s="56">
        <f>T59*B59</f>
        <v>-118416.22000000002</v>
      </c>
      <c r="Y59" s="61" t="s">
        <v>20</v>
      </c>
      <c r="Z59" s="57" t="e">
        <f>#REF!</f>
        <v>#REF!</v>
      </c>
      <c r="AA59" s="58" t="s">
        <v>1</v>
      </c>
    </row>
    <row r="60" spans="1:27" ht="16.2" thickBot="1">
      <c r="B60" s="65"/>
      <c r="H60" s="35"/>
      <c r="I60" s="51"/>
      <c r="J60" s="34" t="s">
        <v>1</v>
      </c>
      <c r="K60" s="72">
        <f t="shared" si="3"/>
        <v>0</v>
      </c>
      <c r="L60" s="73"/>
      <c r="M60" s="53"/>
      <c r="Q60" s="35"/>
      <c r="R60" s="51"/>
      <c r="S60" s="34" t="s">
        <v>1</v>
      </c>
      <c r="T60" s="72">
        <f t="shared" si="4"/>
        <v>0</v>
      </c>
      <c r="U60" s="73"/>
      <c r="V60" s="53"/>
      <c r="Y60" s="62" t="s">
        <v>21</v>
      </c>
      <c r="Z60" s="59" t="e">
        <f>#REF!+#REF!</f>
        <v>#REF!</v>
      </c>
      <c r="AA60" s="60" t="s">
        <v>1</v>
      </c>
    </row>
    <row r="61" spans="1:27" ht="15.6">
      <c r="H61" s="35"/>
      <c r="I61" s="51"/>
      <c r="J61" s="34" t="s">
        <v>1</v>
      </c>
      <c r="K61" s="72">
        <f t="shared" si="3"/>
        <v>0</v>
      </c>
      <c r="L61" s="73"/>
      <c r="M61" s="53"/>
      <c r="Q61" s="35"/>
      <c r="R61" s="51"/>
      <c r="S61" s="34" t="s">
        <v>1</v>
      </c>
      <c r="T61" s="72">
        <f t="shared" si="4"/>
        <v>0</v>
      </c>
      <c r="U61" s="73"/>
      <c r="V61" s="53"/>
    </row>
    <row r="62" spans="1:27" ht="15.6">
      <c r="H62" s="35"/>
      <c r="I62" s="51"/>
      <c r="J62" s="34" t="s">
        <v>1</v>
      </c>
      <c r="K62" s="72">
        <f t="shared" si="3"/>
        <v>0</v>
      </c>
      <c r="L62" s="73"/>
      <c r="M62" s="53"/>
      <c r="Q62" s="35"/>
      <c r="R62" s="51"/>
      <c r="S62" s="34" t="s">
        <v>1</v>
      </c>
      <c r="T62" s="72">
        <f t="shared" si="4"/>
        <v>0</v>
      </c>
      <c r="U62" s="73"/>
      <c r="V62" s="53"/>
    </row>
    <row r="63" spans="1:27" ht="15.6">
      <c r="H63" s="35"/>
      <c r="I63" s="51"/>
      <c r="J63" s="34" t="s">
        <v>1</v>
      </c>
      <c r="K63" s="72">
        <f t="shared" si="3"/>
        <v>0</v>
      </c>
      <c r="L63" s="73"/>
      <c r="M63" s="53"/>
      <c r="Q63" s="35"/>
      <c r="R63" s="51"/>
      <c r="S63" s="34" t="s">
        <v>1</v>
      </c>
      <c r="T63" s="72">
        <f t="shared" si="4"/>
        <v>0</v>
      </c>
      <c r="U63" s="73"/>
      <c r="V63" s="53"/>
    </row>
    <row r="64" spans="1:27" ht="16.2" thickBot="1">
      <c r="H64" s="36"/>
      <c r="I64" s="52"/>
      <c r="J64" s="37" t="s">
        <v>1</v>
      </c>
      <c r="K64" s="74">
        <f t="shared" si="3"/>
        <v>0</v>
      </c>
      <c r="L64" s="75"/>
      <c r="M64" s="47"/>
      <c r="Q64" s="36"/>
      <c r="R64" s="52"/>
      <c r="S64" s="37" t="s">
        <v>1</v>
      </c>
      <c r="T64" s="74">
        <f t="shared" si="4"/>
        <v>0</v>
      </c>
      <c r="U64" s="75"/>
      <c r="V64" s="47"/>
    </row>
    <row r="66" spans="1:164" ht="23.4">
      <c r="A66" s="39" t="s">
        <v>17</v>
      </c>
    </row>
    <row r="68" spans="1:164" ht="15">
      <c r="A68" s="64" t="s">
        <v>18</v>
      </c>
      <c r="B68" s="63">
        <v>16.2</v>
      </c>
      <c r="C68" s="63">
        <v>16.3</v>
      </c>
      <c r="D68" s="63">
        <v>16.399999999999999</v>
      </c>
      <c r="E68" s="63">
        <v>16.5</v>
      </c>
      <c r="F68" s="63">
        <v>16.600000000000001</v>
      </c>
      <c r="G68" s="63">
        <v>16.7</v>
      </c>
      <c r="H68" s="63">
        <v>16.8</v>
      </c>
      <c r="I68" s="63">
        <v>16.899999999999999</v>
      </c>
      <c r="J68" s="63">
        <v>17</v>
      </c>
      <c r="K68" s="63">
        <v>17.100000000000001</v>
      </c>
      <c r="L68" s="63">
        <v>17.2</v>
      </c>
      <c r="M68" s="63">
        <v>17.3</v>
      </c>
      <c r="N68" s="63">
        <v>17.399999999999999</v>
      </c>
      <c r="O68" s="63">
        <v>17.5</v>
      </c>
      <c r="P68" s="63">
        <v>17.600000000000001</v>
      </c>
      <c r="Q68" s="63">
        <v>17.7</v>
      </c>
      <c r="R68" s="63">
        <v>17.8</v>
      </c>
      <c r="S68" s="63">
        <v>17.899999999999999</v>
      </c>
      <c r="T68" s="63">
        <v>18</v>
      </c>
      <c r="U68" s="63">
        <v>18.100000000000001</v>
      </c>
      <c r="V68" s="63">
        <v>18.2</v>
      </c>
      <c r="W68" s="63">
        <v>18.3</v>
      </c>
      <c r="X68" s="63">
        <v>18.399999999999999</v>
      </c>
      <c r="Y68" s="63">
        <v>18.5</v>
      </c>
      <c r="Z68" s="63">
        <v>18.600000000000001</v>
      </c>
      <c r="AA68" s="63">
        <v>18.7</v>
      </c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 s="40"/>
      <c r="DT68" s="40"/>
      <c r="DU68" s="40"/>
      <c r="DV68" s="40"/>
      <c r="DW68" s="40"/>
      <c r="DX68" s="40"/>
      <c r="DY68" s="40"/>
      <c r="DZ68" s="40"/>
      <c r="EA68" s="40"/>
      <c r="EB68" s="40"/>
      <c r="EC68" s="40"/>
      <c r="ED68" s="40"/>
      <c r="EE68" s="40"/>
      <c r="EF68" s="40"/>
      <c r="EG68" s="40"/>
      <c r="EH68" s="40"/>
      <c r="EI68" s="40"/>
      <c r="EJ68" s="40"/>
      <c r="EK68" s="40"/>
      <c r="EL68" s="40"/>
      <c r="EM68" s="40"/>
      <c r="EN68" s="40"/>
      <c r="EO68" s="40"/>
      <c r="EP68" s="40"/>
      <c r="EQ68" s="40"/>
      <c r="ER68" s="40"/>
      <c r="ES68" s="40"/>
      <c r="ET68" s="40"/>
      <c r="EU68" s="40"/>
      <c r="EV68" s="40"/>
      <c r="EW68" s="40"/>
      <c r="EX68" s="40"/>
      <c r="EY68" s="40"/>
      <c r="EZ68" s="40"/>
      <c r="FA68" s="40"/>
      <c r="FB68" s="40"/>
      <c r="FC68" s="40"/>
      <c r="FD68" s="40"/>
      <c r="FE68" s="40"/>
      <c r="FF68" s="40"/>
      <c r="FG68" s="40"/>
      <c r="FH68" s="40"/>
    </row>
    <row r="69" spans="1:164">
      <c r="A69" s="88" t="s">
        <v>19</v>
      </c>
      <c r="B69" s="45">
        <v>80</v>
      </c>
      <c r="C69" s="45">
        <v>80</v>
      </c>
      <c r="D69" s="45">
        <v>81</v>
      </c>
      <c r="E69" s="45">
        <v>81</v>
      </c>
      <c r="F69" s="45">
        <v>82</v>
      </c>
      <c r="G69" s="45">
        <v>82</v>
      </c>
      <c r="H69" s="45">
        <v>83</v>
      </c>
      <c r="I69" s="45">
        <v>83</v>
      </c>
      <c r="J69" s="45">
        <v>84</v>
      </c>
      <c r="K69" s="45">
        <v>84</v>
      </c>
      <c r="L69" s="45">
        <v>85</v>
      </c>
      <c r="M69" s="45">
        <v>85</v>
      </c>
      <c r="N69" s="45">
        <v>86</v>
      </c>
      <c r="O69" s="45">
        <v>86</v>
      </c>
      <c r="P69" s="45">
        <v>87</v>
      </c>
      <c r="Q69" s="45">
        <v>87</v>
      </c>
      <c r="R69" s="45">
        <v>88</v>
      </c>
      <c r="S69" s="45">
        <v>88</v>
      </c>
      <c r="T69" s="45">
        <v>89</v>
      </c>
      <c r="U69" s="45">
        <v>89</v>
      </c>
      <c r="V69" s="45">
        <v>90</v>
      </c>
      <c r="W69" s="45">
        <v>90</v>
      </c>
      <c r="X69" s="45">
        <v>91</v>
      </c>
      <c r="Y69" s="45">
        <v>91</v>
      </c>
      <c r="Z69" s="45">
        <v>92</v>
      </c>
      <c r="AA69" s="45">
        <v>92</v>
      </c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  <c r="CY69" s="41"/>
      <c r="CZ69" s="41"/>
      <c r="DA69" s="41"/>
      <c r="DB69" s="41"/>
      <c r="DC69" s="41"/>
      <c r="DD69" s="41"/>
      <c r="DE69" s="41"/>
      <c r="DF69" s="41"/>
      <c r="DG69" s="41"/>
      <c r="DH69" s="41"/>
      <c r="DI69" s="41"/>
      <c r="DJ69" s="41"/>
      <c r="DK69" s="41"/>
      <c r="DL69" s="41"/>
      <c r="DM69" s="41"/>
      <c r="DN69" s="41"/>
      <c r="DO69" s="41"/>
      <c r="DP69" s="41"/>
      <c r="DQ69" s="41"/>
      <c r="DR69" s="41"/>
      <c r="DS69" s="41"/>
      <c r="DT69" s="41"/>
      <c r="DU69" s="41"/>
      <c r="DV69" s="41"/>
      <c r="DW69" s="41"/>
      <c r="DX69" s="41"/>
      <c r="DY69" s="41"/>
      <c r="DZ69" s="41"/>
      <c r="EA69" s="41"/>
      <c r="EB69" s="41"/>
      <c r="EC69" s="41"/>
      <c r="ED69" s="41"/>
      <c r="EE69" s="41"/>
      <c r="EF69" s="41"/>
      <c r="EG69" s="41"/>
      <c r="EH69" s="41"/>
      <c r="EI69" s="41"/>
      <c r="EJ69" s="41"/>
      <c r="EK69" s="41"/>
      <c r="EL69" s="41"/>
      <c r="EM69" s="41"/>
      <c r="EN69" s="41"/>
      <c r="EO69" s="41"/>
      <c r="EP69" s="41"/>
      <c r="EQ69" s="41"/>
      <c r="ER69" s="41"/>
      <c r="ES69" s="41"/>
      <c r="ET69" s="41"/>
      <c r="EU69" s="41"/>
      <c r="EV69" s="41"/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</row>
    <row r="70" spans="1:164">
      <c r="A70" s="88"/>
      <c r="B70" s="46">
        <v>54.1</v>
      </c>
      <c r="C70" s="46">
        <v>55</v>
      </c>
      <c r="D70" s="46">
        <v>55.9</v>
      </c>
      <c r="E70" s="46">
        <v>56.9</v>
      </c>
      <c r="F70" s="46">
        <v>57.8</v>
      </c>
      <c r="G70" s="46">
        <v>58.7</v>
      </c>
      <c r="H70" s="46">
        <v>59.7</v>
      </c>
      <c r="I70" s="46">
        <v>60.6</v>
      </c>
      <c r="J70" s="46">
        <v>61.6</v>
      </c>
      <c r="K70" s="46">
        <v>62.6</v>
      </c>
      <c r="L70" s="46">
        <v>63.6</v>
      </c>
      <c r="M70" s="46">
        <v>64.599999999999994</v>
      </c>
      <c r="N70" s="46">
        <v>65.599999999999994</v>
      </c>
      <c r="O70" s="46">
        <v>66.7</v>
      </c>
      <c r="P70" s="46">
        <v>67.7</v>
      </c>
      <c r="Q70" s="46">
        <v>68.8</v>
      </c>
      <c r="R70" s="46">
        <v>69.8</v>
      </c>
      <c r="S70" s="46">
        <v>70.900000000000006</v>
      </c>
      <c r="T70" s="46">
        <v>72</v>
      </c>
      <c r="U70" s="46">
        <v>73.099999999999994</v>
      </c>
      <c r="V70" s="46">
        <v>74.2</v>
      </c>
      <c r="W70" s="46">
        <v>75.400000000000006</v>
      </c>
      <c r="X70" s="46">
        <v>76.5</v>
      </c>
      <c r="Y70" s="46">
        <v>77.7</v>
      </c>
      <c r="Z70" s="46">
        <v>78.8</v>
      </c>
      <c r="AA70" s="46">
        <v>80</v>
      </c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42"/>
      <c r="CO70" s="42"/>
      <c r="CP70" s="42"/>
      <c r="CQ70" s="42"/>
      <c r="CR70" s="42"/>
      <c r="CS70" s="42"/>
      <c r="CT70" s="42"/>
      <c r="CU70" s="42"/>
      <c r="CV70" s="42"/>
      <c r="CW70" s="42"/>
      <c r="CX70" s="42"/>
      <c r="CY70" s="42"/>
      <c r="CZ70" s="42"/>
      <c r="DA70" s="42"/>
      <c r="DB70" s="42"/>
      <c r="DC70" s="42"/>
      <c r="DD70" s="42"/>
      <c r="DE70" s="42"/>
      <c r="DF70" s="42"/>
      <c r="DG70" s="42"/>
      <c r="DH70" s="42"/>
      <c r="DI70" s="42"/>
      <c r="DJ70" s="42"/>
      <c r="DK70" s="42"/>
      <c r="DL70" s="42"/>
      <c r="DM70" s="42"/>
      <c r="DN70" s="42"/>
      <c r="DO70" s="42"/>
      <c r="DP70" s="42"/>
      <c r="DQ70" s="42"/>
      <c r="DR70" s="42"/>
      <c r="DS70" s="42"/>
      <c r="DT70" s="42"/>
      <c r="DU70" s="42"/>
      <c r="DV70" s="42"/>
      <c r="DW70" s="42"/>
      <c r="DX70" s="42"/>
      <c r="DY70" s="42"/>
      <c r="DZ70" s="42"/>
      <c r="EA70" s="42"/>
      <c r="EB70" s="42"/>
      <c r="EC70" s="42"/>
      <c r="ED70" s="42"/>
      <c r="EE70" s="42"/>
      <c r="EF70" s="42"/>
      <c r="EG70" s="42"/>
      <c r="EH70" s="42"/>
      <c r="EI70" s="42"/>
      <c r="EJ70" s="42"/>
      <c r="EK70" s="42"/>
      <c r="EL70" s="42"/>
      <c r="EM70" s="42"/>
      <c r="EN70" s="42"/>
      <c r="EO70" s="42"/>
      <c r="EP70" s="42"/>
      <c r="EQ70" s="42"/>
      <c r="ER70" s="42"/>
      <c r="ES70" s="42"/>
      <c r="ET70" s="42"/>
      <c r="EU70" s="42"/>
      <c r="EV70" s="42"/>
      <c r="EW70" s="42"/>
      <c r="EX70" s="42"/>
      <c r="EY70" s="42"/>
      <c r="EZ70" s="42"/>
      <c r="FA70" s="42"/>
      <c r="FB70" s="42"/>
      <c r="FC70" s="42"/>
      <c r="FD70" s="42"/>
      <c r="FE70" s="42"/>
      <c r="FF70" s="42"/>
      <c r="FG70" s="42"/>
      <c r="FH70" s="42"/>
    </row>
    <row r="71" spans="1:164">
      <c r="A71" s="88"/>
      <c r="B71" s="44">
        <v>30.62</v>
      </c>
      <c r="C71" s="44">
        <v>31.13</v>
      </c>
      <c r="D71" s="44">
        <v>31.64</v>
      </c>
      <c r="E71" s="44">
        <v>32.159999999999997</v>
      </c>
      <c r="F71" s="44">
        <v>32.68</v>
      </c>
      <c r="G71" s="44">
        <v>33.22</v>
      </c>
      <c r="H71" s="44">
        <v>33.75</v>
      </c>
      <c r="I71" s="44">
        <v>34.299999999999997</v>
      </c>
      <c r="J71" s="44">
        <v>34.85</v>
      </c>
      <c r="K71" s="44">
        <v>35.409999999999997</v>
      </c>
      <c r="L71" s="44">
        <v>35.97</v>
      </c>
      <c r="M71" s="44">
        <v>36.54</v>
      </c>
      <c r="N71" s="44">
        <v>37.119999999999997</v>
      </c>
      <c r="O71" s="44">
        <v>37.71</v>
      </c>
      <c r="P71" s="44">
        <v>38.299999999999997</v>
      </c>
      <c r="Q71" s="44">
        <v>38.89</v>
      </c>
      <c r="R71" s="44">
        <v>39.5</v>
      </c>
      <c r="S71" s="44">
        <v>40.11</v>
      </c>
      <c r="T71" s="44">
        <v>40.729999999999997</v>
      </c>
      <c r="U71" s="44">
        <v>41.35</v>
      </c>
      <c r="V71" s="44">
        <v>41.99</v>
      </c>
      <c r="W71" s="44">
        <v>42.63</v>
      </c>
      <c r="X71" s="44">
        <v>43.27</v>
      </c>
      <c r="Y71" s="44">
        <v>43.93</v>
      </c>
      <c r="Z71" s="44">
        <v>44.59</v>
      </c>
      <c r="AA71" s="44">
        <v>45.25</v>
      </c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  <c r="DY71" s="43"/>
      <c r="DZ71" s="43"/>
      <c r="EA71" s="43"/>
      <c r="EB71" s="43"/>
      <c r="EC71" s="43"/>
      <c r="ED71" s="43"/>
      <c r="EE71" s="43"/>
      <c r="EF71" s="43"/>
      <c r="EG71" s="43"/>
      <c r="EH71" s="43"/>
      <c r="EI71" s="43"/>
      <c r="EJ71" s="43"/>
      <c r="EK71" s="43"/>
      <c r="EL71" s="43"/>
      <c r="EM71" s="43"/>
      <c r="EN71" s="43"/>
      <c r="EO71" s="43"/>
      <c r="EP71" s="43"/>
      <c r="EQ71" s="43"/>
      <c r="ER71" s="43"/>
      <c r="ES71" s="43"/>
      <c r="ET71" s="43"/>
      <c r="EU71" s="43"/>
      <c r="EV71" s="43"/>
      <c r="EW71" s="43"/>
      <c r="EX71" s="43"/>
      <c r="EY71" s="43"/>
      <c r="EZ71" s="43"/>
      <c r="FA71" s="43"/>
      <c r="FB71" s="43"/>
      <c r="FC71" s="43"/>
      <c r="FD71" s="43"/>
      <c r="FE71" s="43"/>
      <c r="FF71" s="43"/>
      <c r="FG71" s="43"/>
      <c r="FH71" s="43"/>
    </row>
  </sheetData>
  <mergeCells count="510">
    <mergeCell ref="R57:S57"/>
    <mergeCell ref="T57:U57"/>
    <mergeCell ref="H9:H10"/>
    <mergeCell ref="I9:I10"/>
    <mergeCell ref="J9:J10"/>
    <mergeCell ref="K9:K10"/>
    <mergeCell ref="L9:L10"/>
    <mergeCell ref="M9:M10"/>
    <mergeCell ref="I12:I13"/>
    <mergeCell ref="C17:C19"/>
    <mergeCell ref="D18:D19"/>
    <mergeCell ref="E18:E19"/>
    <mergeCell ref="F18:F19"/>
    <mergeCell ref="G18:G19"/>
    <mergeCell ref="J15:J16"/>
    <mergeCell ref="K15:K16"/>
    <mergeCell ref="L15:L16"/>
    <mergeCell ref="T58:U58"/>
    <mergeCell ref="T59:U59"/>
    <mergeCell ref="T60:U60"/>
    <mergeCell ref="T61:U61"/>
    <mergeCell ref="T62:U62"/>
    <mergeCell ref="T63:U63"/>
    <mergeCell ref="T64:U64"/>
    <mergeCell ref="T51:T52"/>
    <mergeCell ref="U51:U52"/>
    <mergeCell ref="V51:V52"/>
    <mergeCell ref="W51:W52"/>
    <mergeCell ref="X51:X52"/>
    <mergeCell ref="Y51:Y52"/>
    <mergeCell ref="Z51:Z52"/>
    <mergeCell ref="AA51:AA52"/>
    <mergeCell ref="Z54:Z55"/>
    <mergeCell ref="AA54:AA55"/>
    <mergeCell ref="A2:A4"/>
    <mergeCell ref="B2:B4"/>
    <mergeCell ref="C2:C4"/>
    <mergeCell ref="D3:D4"/>
    <mergeCell ref="E3:E4"/>
    <mergeCell ref="H3:H4"/>
    <mergeCell ref="I3:I4"/>
    <mergeCell ref="J3:J4"/>
    <mergeCell ref="K3:K4"/>
    <mergeCell ref="G1:I1"/>
    <mergeCell ref="L1:N1"/>
    <mergeCell ref="P1:R1"/>
    <mergeCell ref="T1:V1"/>
    <mergeCell ref="X1:Z1"/>
    <mergeCell ref="X3:X4"/>
    <mergeCell ref="Y3:Y4"/>
    <mergeCell ref="Z3:Z4"/>
    <mergeCell ref="AA3:AA4"/>
    <mergeCell ref="A5:A7"/>
    <mergeCell ref="B5:B7"/>
    <mergeCell ref="C5:C7"/>
    <mergeCell ref="D6:D7"/>
    <mergeCell ref="E6:E7"/>
    <mergeCell ref="F6:F7"/>
    <mergeCell ref="R3:R4"/>
    <mergeCell ref="S3:S4"/>
    <mergeCell ref="T3:T4"/>
    <mergeCell ref="U3:U4"/>
    <mergeCell ref="V3:V4"/>
    <mergeCell ref="W3:W4"/>
    <mergeCell ref="L3:L4"/>
    <mergeCell ref="M3:M4"/>
    <mergeCell ref="N3:N4"/>
    <mergeCell ref="O3:O4"/>
    <mergeCell ref="P3:P4"/>
    <mergeCell ref="Q3:Q4"/>
    <mergeCell ref="F3:F4"/>
    <mergeCell ref="G3:G4"/>
    <mergeCell ref="Z6:Z7"/>
    <mergeCell ref="AA6:AA7"/>
    <mergeCell ref="A8:A10"/>
    <mergeCell ref="B8:B10"/>
    <mergeCell ref="C8:C10"/>
    <mergeCell ref="D9:D10"/>
    <mergeCell ref="E9:E10"/>
    <mergeCell ref="F9:F10"/>
    <mergeCell ref="G9:G10"/>
    <mergeCell ref="S6:S7"/>
    <mergeCell ref="T6:T7"/>
    <mergeCell ref="U6:U7"/>
    <mergeCell ref="V6:V7"/>
    <mergeCell ref="W6:W7"/>
    <mergeCell ref="X6:X7"/>
    <mergeCell ref="M6:M7"/>
    <mergeCell ref="N6:N7"/>
    <mergeCell ref="O6:O7"/>
    <mergeCell ref="P6:P7"/>
    <mergeCell ref="Q6:Q7"/>
    <mergeCell ref="R6:R7"/>
    <mergeCell ref="G6:G7"/>
    <mergeCell ref="H6:H7"/>
    <mergeCell ref="I6:I7"/>
    <mergeCell ref="R9:R10"/>
    <mergeCell ref="Y6:Y7"/>
    <mergeCell ref="J6:J7"/>
    <mergeCell ref="K6:K7"/>
    <mergeCell ref="L6:L7"/>
    <mergeCell ref="Z9:Z10"/>
    <mergeCell ref="Y12:Y13"/>
    <mergeCell ref="Z12:Z13"/>
    <mergeCell ref="O12:O13"/>
    <mergeCell ref="P12:P13"/>
    <mergeCell ref="Q12:Q13"/>
    <mergeCell ref="R12:R13"/>
    <mergeCell ref="S12:S13"/>
    <mergeCell ref="T12:T13"/>
    <mergeCell ref="S9:S10"/>
    <mergeCell ref="J12:J13"/>
    <mergeCell ref="K12:K13"/>
    <mergeCell ref="L12:L13"/>
    <mergeCell ref="M12:M13"/>
    <mergeCell ref="N12:N13"/>
    <mergeCell ref="AA9:AA10"/>
    <mergeCell ref="A11:A13"/>
    <mergeCell ref="B11:B13"/>
    <mergeCell ref="C11:C13"/>
    <mergeCell ref="D12:D13"/>
    <mergeCell ref="E12:E13"/>
    <mergeCell ref="F12:F13"/>
    <mergeCell ref="G12:G13"/>
    <mergeCell ref="H12:H13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AA12:AA13"/>
    <mergeCell ref="U12:U13"/>
    <mergeCell ref="V12:V13"/>
    <mergeCell ref="W12:W13"/>
    <mergeCell ref="X12:X13"/>
    <mergeCell ref="A14:A16"/>
    <mergeCell ref="B14:B16"/>
    <mergeCell ref="C14:C16"/>
    <mergeCell ref="D15:D16"/>
    <mergeCell ref="E15:E16"/>
    <mergeCell ref="F15:F16"/>
    <mergeCell ref="G15:G16"/>
    <mergeCell ref="H15:H16"/>
    <mergeCell ref="I15:I16"/>
    <mergeCell ref="Y15:Y16"/>
    <mergeCell ref="Z15:Z16"/>
    <mergeCell ref="AA15:AA16"/>
    <mergeCell ref="P15:P16"/>
    <mergeCell ref="Q15:Q16"/>
    <mergeCell ref="R15:R16"/>
    <mergeCell ref="S15:S16"/>
    <mergeCell ref="T15:T16"/>
    <mergeCell ref="U15:U16"/>
    <mergeCell ref="V15:V16"/>
    <mergeCell ref="W15:W16"/>
    <mergeCell ref="X15:X16"/>
    <mergeCell ref="M15:M16"/>
    <mergeCell ref="N15:N16"/>
    <mergeCell ref="O15:O16"/>
    <mergeCell ref="P18:P19"/>
    <mergeCell ref="Q18:Q19"/>
    <mergeCell ref="R18:R19"/>
    <mergeCell ref="S18:S19"/>
    <mergeCell ref="H18:H19"/>
    <mergeCell ref="I18:I19"/>
    <mergeCell ref="J18:J19"/>
    <mergeCell ref="K18:K19"/>
    <mergeCell ref="L18:L19"/>
    <mergeCell ref="Z18:Z19"/>
    <mergeCell ref="AA18:AA19"/>
    <mergeCell ref="U18:U19"/>
    <mergeCell ref="V18:V19"/>
    <mergeCell ref="W18:W19"/>
    <mergeCell ref="X18:X19"/>
    <mergeCell ref="Y18:Y19"/>
    <mergeCell ref="V21:V22"/>
    <mergeCell ref="W21:W22"/>
    <mergeCell ref="X21:X22"/>
    <mergeCell ref="Y21:Y22"/>
    <mergeCell ref="Z21:Z22"/>
    <mergeCell ref="AA21:AA22"/>
    <mergeCell ref="U21:U22"/>
    <mergeCell ref="B20:B22"/>
    <mergeCell ref="C20:C22"/>
    <mergeCell ref="D21:D22"/>
    <mergeCell ref="E21:E22"/>
    <mergeCell ref="F21:F22"/>
    <mergeCell ref="G21:G22"/>
    <mergeCell ref="H21:H22"/>
    <mergeCell ref="I21:I22"/>
    <mergeCell ref="T18:T19"/>
    <mergeCell ref="N18:N19"/>
    <mergeCell ref="O18:O19"/>
    <mergeCell ref="P21:P22"/>
    <mergeCell ref="Q21:Q22"/>
    <mergeCell ref="R21:R22"/>
    <mergeCell ref="S21:S22"/>
    <mergeCell ref="T21:T22"/>
    <mergeCell ref="M18:M19"/>
    <mergeCell ref="J21:J22"/>
    <mergeCell ref="K21:K22"/>
    <mergeCell ref="L21:L22"/>
    <mergeCell ref="M21:M22"/>
    <mergeCell ref="N21:N22"/>
    <mergeCell ref="O21:O22"/>
    <mergeCell ref="B17:B19"/>
    <mergeCell ref="J24:J25"/>
    <mergeCell ref="K24:K25"/>
    <mergeCell ref="L24:L25"/>
    <mergeCell ref="M24:M25"/>
    <mergeCell ref="B23:B25"/>
    <mergeCell ref="C23:C25"/>
    <mergeCell ref="D24:D25"/>
    <mergeCell ref="E24:E25"/>
    <mergeCell ref="F24:F25"/>
    <mergeCell ref="G24:G25"/>
    <mergeCell ref="Z24:Z25"/>
    <mergeCell ref="AA24:AA25"/>
    <mergeCell ref="B26:B28"/>
    <mergeCell ref="C26:C28"/>
    <mergeCell ref="D27:D28"/>
    <mergeCell ref="E27:E28"/>
    <mergeCell ref="F27:F28"/>
    <mergeCell ref="G27:G28"/>
    <mergeCell ref="H27:H28"/>
    <mergeCell ref="I27:I28"/>
    <mergeCell ref="T24:T25"/>
    <mergeCell ref="U24:U25"/>
    <mergeCell ref="V24:V25"/>
    <mergeCell ref="W24:W25"/>
    <mergeCell ref="X24:X25"/>
    <mergeCell ref="Y24:Y25"/>
    <mergeCell ref="N24:N25"/>
    <mergeCell ref="O24:O25"/>
    <mergeCell ref="P24:P25"/>
    <mergeCell ref="Q24:Q25"/>
    <mergeCell ref="R24:R25"/>
    <mergeCell ref="S24:S25"/>
    <mergeCell ref="H24:H25"/>
    <mergeCell ref="I24:I25"/>
    <mergeCell ref="Y27:Y28"/>
    <mergeCell ref="Z27:Z28"/>
    <mergeCell ref="AA27:AA28"/>
    <mergeCell ref="P27:P28"/>
    <mergeCell ref="Q27:Q28"/>
    <mergeCell ref="R27:R28"/>
    <mergeCell ref="S27:S28"/>
    <mergeCell ref="T27:T28"/>
    <mergeCell ref="U27:U28"/>
    <mergeCell ref="C29:C31"/>
    <mergeCell ref="D30:D31"/>
    <mergeCell ref="E30:E31"/>
    <mergeCell ref="F30:F31"/>
    <mergeCell ref="G30:G31"/>
    <mergeCell ref="V27:V28"/>
    <mergeCell ref="W27:W28"/>
    <mergeCell ref="X27:X28"/>
    <mergeCell ref="J27:J28"/>
    <mergeCell ref="K27:K28"/>
    <mergeCell ref="L27:L28"/>
    <mergeCell ref="M27:M28"/>
    <mergeCell ref="N27:N28"/>
    <mergeCell ref="O27:O28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Z30:Z31"/>
    <mergeCell ref="AA30:AA31"/>
    <mergeCell ref="U30:U31"/>
    <mergeCell ref="V30:V31"/>
    <mergeCell ref="W30:W31"/>
    <mergeCell ref="X30:X31"/>
    <mergeCell ref="Y30:Y31"/>
    <mergeCell ref="V33:V34"/>
    <mergeCell ref="W33:W34"/>
    <mergeCell ref="X33:X34"/>
    <mergeCell ref="Y33:Y34"/>
    <mergeCell ref="Z33:Z34"/>
    <mergeCell ref="AA33:AA34"/>
    <mergeCell ref="U33:U34"/>
    <mergeCell ref="B32:B34"/>
    <mergeCell ref="C32:C34"/>
    <mergeCell ref="D33:D34"/>
    <mergeCell ref="E33:E34"/>
    <mergeCell ref="F33:F34"/>
    <mergeCell ref="G33:G34"/>
    <mergeCell ref="H33:H34"/>
    <mergeCell ref="I33:I34"/>
    <mergeCell ref="T30:T31"/>
    <mergeCell ref="N30:N31"/>
    <mergeCell ref="O30:O31"/>
    <mergeCell ref="P33:P34"/>
    <mergeCell ref="Q33:Q34"/>
    <mergeCell ref="R33:R34"/>
    <mergeCell ref="S33:S34"/>
    <mergeCell ref="T33:T34"/>
    <mergeCell ref="M30:M31"/>
    <mergeCell ref="J33:J34"/>
    <mergeCell ref="K33:K34"/>
    <mergeCell ref="L33:L34"/>
    <mergeCell ref="M33:M34"/>
    <mergeCell ref="N33:N34"/>
    <mergeCell ref="O33:O34"/>
    <mergeCell ref="B29:B31"/>
    <mergeCell ref="J36:J37"/>
    <mergeCell ref="K36:K37"/>
    <mergeCell ref="L36:L37"/>
    <mergeCell ref="M36:M37"/>
    <mergeCell ref="B35:B37"/>
    <mergeCell ref="C35:C37"/>
    <mergeCell ref="D36:D37"/>
    <mergeCell ref="E36:E37"/>
    <mergeCell ref="F36:F37"/>
    <mergeCell ref="G36:G37"/>
    <mergeCell ref="Z36:Z37"/>
    <mergeCell ref="AA36:AA37"/>
    <mergeCell ref="A17:A19"/>
    <mergeCell ref="A20:A22"/>
    <mergeCell ref="A23:A25"/>
    <mergeCell ref="A26:A28"/>
    <mergeCell ref="A29:A31"/>
    <mergeCell ref="A32:A34"/>
    <mergeCell ref="A35:A37"/>
    <mergeCell ref="T36:T37"/>
    <mergeCell ref="U36:U37"/>
    <mergeCell ref="V36:V37"/>
    <mergeCell ref="W36:W37"/>
    <mergeCell ref="X36:X37"/>
    <mergeCell ref="Y36:Y37"/>
    <mergeCell ref="N36:N37"/>
    <mergeCell ref="O36:O37"/>
    <mergeCell ref="P36:P37"/>
    <mergeCell ref="Q36:Q37"/>
    <mergeCell ref="R36:R37"/>
    <mergeCell ref="S36:S37"/>
    <mergeCell ref="H36:H37"/>
    <mergeCell ref="I36:I37"/>
    <mergeCell ref="H39:H40"/>
    <mergeCell ref="I39:I40"/>
    <mergeCell ref="J39:J40"/>
    <mergeCell ref="K39:K40"/>
    <mergeCell ref="L39:L40"/>
    <mergeCell ref="A38:A40"/>
    <mergeCell ref="B38:B40"/>
    <mergeCell ref="C38:C40"/>
    <mergeCell ref="D39:D40"/>
    <mergeCell ref="E39:E40"/>
    <mergeCell ref="F39:F40"/>
    <mergeCell ref="G39:G40"/>
    <mergeCell ref="M39:M40"/>
    <mergeCell ref="N39:N40"/>
    <mergeCell ref="O39:O40"/>
    <mergeCell ref="P39:P40"/>
    <mergeCell ref="Q39:Q40"/>
    <mergeCell ref="R39:R40"/>
    <mergeCell ref="S39:S40"/>
    <mergeCell ref="T39:T40"/>
    <mergeCell ref="U39:U40"/>
    <mergeCell ref="V39:V40"/>
    <mergeCell ref="W39:W40"/>
    <mergeCell ref="X39:X40"/>
    <mergeCell ref="Y39:Y40"/>
    <mergeCell ref="Z39:Z40"/>
    <mergeCell ref="AA39:AA40"/>
    <mergeCell ref="A41:A43"/>
    <mergeCell ref="B41:B43"/>
    <mergeCell ref="C41:C43"/>
    <mergeCell ref="D42:D43"/>
    <mergeCell ref="E42:E43"/>
    <mergeCell ref="F42:F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44:A46"/>
    <mergeCell ref="B44:B46"/>
    <mergeCell ref="C44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O45:O46"/>
    <mergeCell ref="P45:P46"/>
    <mergeCell ref="Q45:Q46"/>
    <mergeCell ref="R45:R46"/>
    <mergeCell ref="S45:S46"/>
    <mergeCell ref="T45:T46"/>
    <mergeCell ref="Y45:Y46"/>
    <mergeCell ref="Z45:Z46"/>
    <mergeCell ref="AA45:AA46"/>
    <mergeCell ref="A47:A49"/>
    <mergeCell ref="B47:B49"/>
    <mergeCell ref="C47:C49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T48:T49"/>
    <mergeCell ref="U48:U49"/>
    <mergeCell ref="V48:V49"/>
    <mergeCell ref="W48:W49"/>
    <mergeCell ref="X48:X49"/>
    <mergeCell ref="U45:U46"/>
    <mergeCell ref="V45:V46"/>
    <mergeCell ref="W45:W46"/>
    <mergeCell ref="X45:X46"/>
    <mergeCell ref="N51:N52"/>
    <mergeCell ref="O51:O52"/>
    <mergeCell ref="P51:P52"/>
    <mergeCell ref="Q51:Q52"/>
    <mergeCell ref="R51:R52"/>
    <mergeCell ref="S51:S52"/>
    <mergeCell ref="P48:P49"/>
    <mergeCell ref="Q48:Q49"/>
    <mergeCell ref="R48:R49"/>
    <mergeCell ref="S48:S49"/>
    <mergeCell ref="A50:A52"/>
    <mergeCell ref="B50:B52"/>
    <mergeCell ref="C50:C52"/>
    <mergeCell ref="D51:D52"/>
    <mergeCell ref="E51:E52"/>
    <mergeCell ref="F51:F52"/>
    <mergeCell ref="G51:G52"/>
    <mergeCell ref="A53:A55"/>
    <mergeCell ref="B53:B55"/>
    <mergeCell ref="C53:C55"/>
    <mergeCell ref="D54:D55"/>
    <mergeCell ref="E54:E55"/>
    <mergeCell ref="F54:F55"/>
    <mergeCell ref="G54:G55"/>
    <mergeCell ref="A69:A71"/>
    <mergeCell ref="H54:H55"/>
    <mergeCell ref="I54:I55"/>
    <mergeCell ref="J54:J55"/>
    <mergeCell ref="K54:K55"/>
    <mergeCell ref="L54:L55"/>
    <mergeCell ref="M54:M55"/>
    <mergeCell ref="N54:N55"/>
    <mergeCell ref="X54:X55"/>
    <mergeCell ref="Y54:Y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Y48:Y49"/>
    <mergeCell ref="Z48:Z49"/>
    <mergeCell ref="AA48:AA49"/>
    <mergeCell ref="H51:H52"/>
    <mergeCell ref="I51:I52"/>
    <mergeCell ref="J51:J52"/>
    <mergeCell ref="K51:K52"/>
    <mergeCell ref="L51:L52"/>
    <mergeCell ref="M51:M52"/>
    <mergeCell ref="I57:J57"/>
    <mergeCell ref="K57:L57"/>
    <mergeCell ref="K58:L58"/>
    <mergeCell ref="K59:L59"/>
    <mergeCell ref="K60:L60"/>
    <mergeCell ref="K61:L61"/>
    <mergeCell ref="K62:L62"/>
    <mergeCell ref="K63:L63"/>
    <mergeCell ref="K64:L64"/>
  </mergeCells>
  <conditionalFormatting sqref="D2:D55">
    <cfRule type="cellIs" dxfId="6" priority="15" operator="greaterThan">
      <formula>18</formula>
    </cfRule>
  </conditionalFormatting>
  <conditionalFormatting sqref="K59:L64">
    <cfRule type="cellIs" dxfId="5" priority="1" operator="equal">
      <formula>0</formula>
    </cfRule>
    <cfRule type="cellIs" dxfId="4" priority="2" operator="lessThan">
      <formula>0</formula>
    </cfRule>
    <cfRule type="cellIs" dxfId="3" priority="3" operator="greaterThan">
      <formula>0</formula>
    </cfRule>
  </conditionalFormatting>
  <conditionalFormatting sqref="T59:U64">
    <cfRule type="cellIs" dxfId="2" priority="6" operator="equal">
      <formula>0</formula>
    </cfRule>
    <cfRule type="cellIs" dxfId="1" priority="7" operator="lessThan">
      <formula>0</formula>
    </cfRule>
    <cfRule type="cellIs" dxfId="0" priority="8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31" orientation="landscape" r:id="rId1"/>
  <rowBreaks count="1" manualBreakCount="1">
    <brk id="3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Schedule Planner</vt:lpstr>
      <vt:lpstr>'Schedule Planner'!Print_Area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Gappisch</dc:creator>
  <cp:lastModifiedBy>Rithvik DB</cp:lastModifiedBy>
  <cp:lastPrinted>2021-10-12T12:16:47Z</cp:lastPrinted>
  <dcterms:created xsi:type="dcterms:W3CDTF">2019-04-26T12:27:25Z</dcterms:created>
  <dcterms:modified xsi:type="dcterms:W3CDTF">2026-05-14T09:56:14Z</dcterms:modified>
</cp:coreProperties>
</file>